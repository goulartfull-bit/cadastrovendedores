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7bbcdbd30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ÇÕES" sheetId="6" r:id="Ra0d1e384583746d8"/>
    <x:sheet xmlns:r="http://schemas.openxmlformats.org/officeDocument/2006/relationships" name="CADASTRO" sheetId="5" r:id="R0dc71121a4c1460f"/>
    <x:sheet xmlns:r="http://schemas.openxmlformats.org/officeDocument/2006/relationships" name="Dados" sheetId="2" r:id="R189c5cef58ec4dfb"/>
  </x:sheets>
</x:workbook>
</file>

<file path=xl/sharedStrings.xml><?xml version="1.0" encoding="utf-8"?>
<x:sst xmlns:x="http://schemas.openxmlformats.org/spreadsheetml/2006/main">
  <x:si>
    <x:t xml:space="preserve">ORIENTAÇÕES BASICAS</x:t>
  </x:si>
  <x:si>
    <x:t xml:space="preserve">ATENÇÃO PARA AS OPÇÕES NO CAMPO DE TIPO DE SOLICITAÇÃO! GA IRÁ EXECUTAR O QUE O USUÁRIO ESTA SOLICITANDO NO FORMULÁRIO.</x:t>
  </x:si>
  <x:si>
    <x:t xml:space="preserve">TIPO DE SOLICITAÇÃO</x:t>
  </x:si>
  <x:si>
    <x:t xml:space="preserve">QUANDO DEVE SER UTILIZADO?</x:t>
  </x:si>
  <x:si>
    <x:t xml:space="preserve">PREENCHIMENTO DO FORMULÁRIO</x:t>
  </x:si>
  <x:si>
    <x:t xml:space="preserve">CRIAÇÃO: ACESSO NETSMS</x:t>
  </x:si>
  <x:si>
    <x:t xml:space="preserve">Para criação de acesso apenas no acesso ao NETSMS. Solicitação NÃO atende a Diretoria Comercial, pois a premissa é ter acesso ao NetSales e/ou Acesso NetSales +Campo Vendedor</x:t>
  </x:si>
  <x:si>
    <x:t xml:space="preserve"> ATENÇÃO PARA OS CAMPOS OBRIGATORIOS.
TENTAMOS DEIXAR O FORMULARIO MAIS INTUITIVO, DEPENDENDO DO TIPO DE SOLICITAÇÃO ALGUNS CAMPOS TERÃO A INDICAÇÃO DE NÃO PREENCHIMENTO NA COR CINZA (NÃO PREENCHER OS CAMPOS EM CINZA, CASO OCORRA O PREENCHIMENTO O CHAMADO NÃO SERÁ ATENDIDO)</x:t>
  </x:si>
  <x:si>
    <x:t xml:space="preserve">CRIAÇÃO: ACESSO NETSMS E NETSALES</x:t>
  </x:si>
  <x:si>
    <x:r>
      <x:t xml:space="preserve">Para criação de acesso NetSMS  e  NET Sales , </x:t>
    </x:r>
    <x:r>
      <x:rPr>
        <x:b/>
        <x:sz val="11"/>
        <x:color rgb="FFFF0000"/>
        <x:rFont val="Segoe UI Light"/>
        <x:family val="2"/>
      </x:rPr>
      <x:t xml:space="preserve">SEM  “campo vendedor” (sem associação na hierarquia, ou seja, não atende o usuarios com perfil vendedor)</x:t>
    </x:r>
  </x:si>
  <x:si>
    <x:t xml:space="preserve">CRIAÇÃO: ACESSO NETSMS E NETSALES + CAMPO VENDEDOR</x:t>
  </x:si>
  <x:si>
    <x:r>
      <x:t xml:space="preserve">Para criação de acesso NetSMS  e  NET Sales , </x:t>
    </x:r>
    <x:r>
      <x:rPr>
        <x:b/>
        <x:sz val="11"/>
        <x:color rgb="FFFF0000"/>
        <x:rFont val="Segoe UI Light"/>
        <x:family val="2"/>
      </x:rPr>
      <x:t xml:space="preserve">COM  “campo vendedor”, ou seja, com associação na hierarquia</x:t>
    </x:r>
  </x:si>
  <x:si>
    <x:t xml:space="preserve">CRIAÇÃO: SOMENTE CAMPO VENDEDOR NETSALES</x:t>
  </x:si>
  <x:si>
    <x:t xml:space="preserve">Para criação somente do campo vendedor e associação a hierarquia, porém sem acesso ao NetSales. Indicado para canais que atuam com cadastro centralizado em BKO/Assistentes de Cadastro em parceiros</x:t>
  </x:si>
  <x:si>
    <x:t xml:space="preserve">ALTERAÇÃO: TROCA DE PERFIL NETSMS</x:t>
  </x:si>
  <x:si>
    <x:r>
      <x:t xml:space="preserve">Tipo de Solicitação para</x:t>
    </x:r>
    <x:r>
      <x:rPr>
        <x:b/>
        <x:sz val="11"/>
        <x:color rgb="FFFF0000"/>
        <x:rFont val="Segoe UI Light"/>
        <x:family val="2"/>
      </x:rPr>
      <x:t xml:space="preserve"> ALTERAÇÃO SOMENTE </x:t>
    </x:r>
    <x:r>
      <x:rPr>
        <x:sz val="11"/>
        <x:color rgb="FF000000"/>
        <x:rFont val="Segoe UI Light"/>
        <x:family val="2"/>
      </x:rPr>
      <x:t xml:space="preserve">do perfil NETSMS (</x:t>
    </x:r>
    <x:r>
      <x:rPr>
        <x:b/>
        <x:sz val="11"/>
        <x:color rgb="FFFF0000"/>
        <x:rFont val="Segoe UI Light"/>
        <x:family val="2"/>
      </x:rPr>
      <x:t xml:space="preserve">NÃO será realizada nenhuma alteração da estrutura de cadastro no NetSales, ou seja, não terá alteração/inclusão de hierarquia/equipe)</x:t>
    </x:r>
  </x:si>
  <x:si>
    <x:t xml:space="preserve">ALTERAÇÃO:TROCA DE PERFIL NETSALES</x:t>
  </x:si>
  <x:si>
    <x:r>
      <x:t xml:space="preserve">Tipo de Solicitação para </x:t>
    </x:r>
    <x:r>
      <x:rPr>
        <x:b/>
        <x:sz val="11"/>
        <x:color rgb="FFFF0000"/>
        <x:rFont val="Segoe UI Light"/>
        <x:family val="2"/>
      </x:rPr>
      <x:t xml:space="preserve">ALTERAÇÃO SOMENTE</x:t>
    </x:r>
    <x:r>
      <x:rPr>
        <x:sz val="11"/>
        <x:color rgb="FF000000"/>
        <x:rFont val="Segoe UI Light"/>
        <x:family val="2"/>
      </x:rPr>
      <x:t xml:space="preserve"> do perfil NETSALES </x:t>
    </x:r>
    <x:r>
      <x:rPr>
        <x:b/>
        <x:sz val="11"/>
        <x:color rgb="FFFF0000"/>
        <x:rFont val="Segoe UI Light"/>
        <x:family val="2"/>
      </x:rPr>
      <x:t xml:space="preserve">(NÃO será realizada nenhuma alteração da estrutura de cadastro no NetSales, ou seja, não terá alteração/inclusão de hierarquia/equipe)</x:t>
    </x:r>
  </x:si>
  <x:si>
    <x:t xml:space="preserve">ALTERAÇÃO:TROCA DE PERFIL NETSALES/NETSMS</x:t>
  </x:si>
  <x:si>
    <x:r>
      <x:t xml:space="preserve">Tipo de Solicitação para ALTERAÇÃO dos perfis NETSALES e NETSMS no mesmo chamado. </x:t>
    </x:r>
    <x:r>
      <x:rPr>
        <x:b/>
        <x:sz val="11"/>
        <x:color rgb="FFFF0000"/>
        <x:rFont val="Segoe UI Light"/>
        <x:family val="2"/>
      </x:rPr>
      <x:t xml:space="preserve">(NÃO será realizada nenhuma alteração da estrutura de cadastro no NetSales, ou seja, não terá alteração/inclusão de hierarquia/equipe)</x:t>
    </x:r>
  </x:si>
  <x:si>
    <x:t xml:space="preserve">ALTERAÇÃO: TROCA DE USUARIO PARA OUTRA EQUIPE</x:t>
  </x:si>
  <x:si>
    <x:r>
      <x:t xml:space="preserve">Tipo de Solicitação para alteração de um usuário que esta se logando no NetSales/NetSMS mas não apresenta hierarquia/equipe de venda ou esteja em uma hierarquia/equipe incorreta, neste processo </x:t>
    </x:r>
    <x:r>
      <x:rPr>
        <x:b/>
        <x:sz val="11"/>
        <x:color rgb="FFFF0000"/>
        <x:rFont val="Segoe UI Light"/>
        <x:family val="2"/>
      </x:rPr>
      <x:t xml:space="preserve">NÃO é ajustado os perfis NetSALES/NetSMS.</x:t>
    </x:r>
    <x:r>
      <x:rPr>
        <x:sz val="11"/>
        <x:color rgb="FF000000"/>
        <x:rFont val="Segoe UI Light"/>
        <x:family val="2"/>
      </x:rPr>
      <x:t xml:space="preserve"> Sempre respeitando as regras basicas de hierarquia. Para troca de canal de uma hierarquia existente deve seguir o processo no IW de credenciamento, quando ocorre este ajuste todos os vendedores são migrados automaticamentes, desde que estejam alocados na hierarquia correta.</x:t>
    </x:r>
  </x:si>
  <x:si>
    <x:t xml:space="preserve">ALTERAÇÃO: TROCA DE USUARIO PARA OUTRA EQUIPE + PERFIL NETSMS E NETSALES</x:t>
  </x:si>
  <x:si>
    <x:r>
      <x:t xml:space="preserve">Tipo de Solicitação para alteração de um usuário que esta se logando no NetSales/NetSMS mas não apresenta hierarquia/equipe de venda ou esteja em uma hierarquia/equipe incorreta, </x:t>
    </x:r>
    <x:r>
      <x:rPr>
        <x:b/>
        <x:sz val="11"/>
        <x:color rgb="FFFF0000"/>
        <x:rFont val="Segoe UI Light"/>
        <x:family val="2"/>
      </x:rPr>
      <x:t xml:space="preserve">neste processo também é ajustado os perfis NetSALES/NetSMS.</x:t>
    </x:r>
    <x:r>
      <x:rPr>
        <x:sz val="11"/>
        <x:color rgb="FF000000"/>
        <x:rFont val="Segoe UI Light"/>
        <x:family val="2"/>
      </x:rPr>
      <x:t xml:space="preserve"> Sempre respeitando as regras basicas de hierarquia. Para troca de canal de uma hierarquia existente deve seguir o processo no IW de credenciamento, quando ocorre este ajuste todos os vendedores são migrados automaticamentes, desde que estejam alocados na hierarquia correta.</x:t>
    </x:r>
  </x:si>
  <x:si>
    <x:t xml:space="preserve">ALTERAÇÃO:TROCA DE SUPERVISOR RESPONSAVEL DA EQUIPE</x:t>
  </x:si>
  <x:si>
    <x:t xml:space="preserve">Tipo de Solicitação para alteração do SUPERVISOR da Hierarquia já existente, lembando que uma equipe só pode ter 1 SUPERVISOR associado.</x:t>
  </x:si>
  <x:si>
    <x:t xml:space="preserve">REGRA DE HIERARQUIA E MATRIZ DE CANAIS E PERFIS</x:t>
  </x:si>
  <x:si>
    <x:r>
      <x:t xml:space="preserve">AS DIRETORIAS TEM REGRAS ESPECIFICAS E SÃO DEFINIDAS PELAS AREAS DE NEGOCIOS, SENDO ASSIM PROCURE SEU PONTO FOCAL CASO TENHA ALGUMA DÚVIDA.
PARA</x:t>
    </x:r>
    <x:r>
      <x:rPr>
        <x:b/>
        <x:sz val="9"/>
        <x:color rgb="FFFF0000"/>
        <x:rFont val="Segoe UI Light"/>
        <x:family val="2"/>
      </x:rPr>
      <x:t xml:space="preserve"> DIRETORIA COMERCIAL </x:t>
    </x:r>
    <x:r>
      <x:rPr>
        <x:sz val="9"/>
        <x:color rgb="FF000000"/>
        <x:rFont val="Segoe UI Light"/>
        <x:family val="2"/>
      </x:rPr>
      <x:t xml:space="preserve">AS OPERAÇÕES QUANDO TIVEREM ALGUMA DÚVIDA DEVEM PROCURAR SEU PONTO FOCAL DO CANAL DA MATRIZ OU CONSULTAR MANUAL.</x:t>
    </x:r>
  </x:si>
  <x:si>
    <x:r>
      <x:rPr>
        <x:b/>
        <x:sz val="2000"/>
        <x:color rgb="FF000000"/>
      </x:rPr>
      <x:t xml:space="preserve">FORMULÁRIO PARA CONCESSÃO DE ACESSO AO NETSMS/NETSALES V23 - </x:t>
    </x:r>
    <x:r>
      <x:rPr>
        <x:b/>
        <x:sz val="2000"/>
        <x:color rgb="FF000000"/>
        <x:rFont val="Calibri"/>
        <x:family val="2"/>
        <x:scheme val="minor"/>
      </x:rPr>
      <x:t xml:space="preserve">ATENÇÃO: O NÃO PREENCHIMENTO DOS CAMPOS OBRIGATÓRIOS IMPLICARÁ NO CANCELAMENTO DO CHAMADO</x:t>
    </x:r>
  </x:si>
  <x:si>
    <x:t xml:space="preserve">TIPO DE DADOS</x:t>
  </x:si>
  <x:si>
    <x:t xml:space="preserve">DADOS OBRIGATÓRIOS PARA SOLICITAÇÃO ( atualizada em 17.07.2024)</x:t>
  </x:si>
  <x:si>
    <x:t xml:space="preserve">CAMPO</x:t>
  </x:si>
  <x:si>
    <x:t xml:space="preserve">LOGIN</x:t>
  </x:si>
  <x:si>
    <x:t xml:space="preserve">NOME</x:t>
  </x:si>
  <x:si>
    <x:t xml:space="preserve">RG</x:t>
  </x:si>
  <x:si>
    <x:t xml:space="preserve">CPF</x:t>
  </x:si>
  <x:si>
    <x:r>
      <x:rPr>
        <x:b/>
        <x:sz val="1400"/>
        <x:color rgb="FF000000"/>
      </x:rPr>
      <x:t xml:space="preserve">HIERARQUIA NETSALES 
</x:t>
    </x:r>
    <x:r>
      <x:rPr>
        <x:b/>
        <x:sz val="1000"/>
        <x:color rgb="FF000000"/>
        <x:rFont val="Calibri"/>
        <x:family val="2"/>
        <x:scheme val="minor"/>
      </x:rPr>
      <x:t xml:space="preserve">(Hierarquia é criada no processo de credenciamento ou cadastro da Empresa, importante indicar a hierarqiuia correta: CNPJ+Canal+ Equipe de Vendas)</x:t>
    </x:r>
  </x:si>
  <x:si>
    <x:t xml:space="preserve">LOGIN NET DO SUPERVISOR DA EQUIPE DE VENDAS 
(Ver regras na Politica - Fique Ligado)</x:t>
  </x:si>
  <x:si>
    <x:t xml:space="preserve">NOME  DO SUPERVISOR DA EQUIPE DE VENDAS 
(Ver regras na Politica - Fique Ligado)</x:t>
  </x:si>
  <x:si>
    <x:t xml:space="preserve">PERFIL
NET SALES</x:t>
  </x:si>
  <x:si>
    <x:t xml:space="preserve">FORMA DE AUTENTICAÇÃO DUO</x:t>
  </x:si>
  <x:si>
    <x:t xml:space="preserve">BASE DE ACESSO</x:t>
  </x:si>
  <x:si>
    <x:t xml:space="preserve">CIDADE(s) de ATUAÇÃO</x:t>
  </x:si>
  <x:si>
    <x:t xml:space="preserve">Retira Grupo Citrix</x:t>
  </x:si>
  <x:si>
    <x:t xml:space="preserve">Suporte OC</x:t>
  </x:si>
  <x:si>
    <x:t xml:space="preserve">DIRETORIA/CANAL</x:t>
  </x:si>
  <x:si>
    <x:t xml:space="preserve">EQUIPE DE VENDAS</x:t>
  </x:si>
  <x:si>
    <x:t xml:space="preserve">CANAL DE VENDA</x:t>
  </x:si>
  <x:si>
    <x:t xml:space="preserve">NOME DA EMPRESA</x:t>
  </x:si>
  <x:si>
    <x:t xml:space="preserve">TIPO DE EMPRESA</x:t>
  </x:si>
  <x:si>
    <x:t xml:space="preserve">CNPJ (obrigatório para todas as empresa)</x:t>
  </x:si>
  <x:si>
    <x:t xml:space="preserve">Informar tipo de solicitação para NETSALES</x:t>
  </x:si>
  <x:si>
    <x:t xml:space="preserve">Informar o LOGIN NET ATIVO do usuário - Validar no IDMBR. O CNPJ associado no SGT3/RH ao usuario deve ser obrigatoriamente o mesmo CNPJ vinculado a hierarquia.</x:t>
  </x:si>
  <x:si>
    <x:t xml:space="preserve">Informar NOME COMPLETO do usuário</x:t>
  </x:si>
  <x:si>
    <x:t xml:space="preserve">RG do usuário (sem pontos e traço)</x:t>
  </x:si>
  <x:si>
    <x:t xml:space="preserve">CPF do usuário (sem pontos)</x:t>
  </x:si>
  <x:si>
    <x:r>
      <x:rPr>
        <x:b/>
        <x:sz val="900"/>
        <x:color rgb="FF000000"/>
      </x:rPr>
      <x:t xml:space="preserve">Selecionar Diretoria e Canal de Vendas. </x:t>
    </x:r>
    <x:r>
      <x:rPr>
        <x:sz val="900"/>
        <x:color rgb="FF000000"/>
        <x:rFont val="Verdana"/>
        <x:family val="2"/>
      </x:rPr>
      <x:t xml:space="preserve">Canal a ser selecionado deve fazer parte da hierarquia pré criada)</x:t>
    </x:r>
  </x:si>
  <x:si>
    <x:t xml:space="preserve">Informar o nome da equipe de vendas padrão criada para BASE CTV. A equipe será utilizada para todas as bases. Se não tiver a equipe padrão criada, seguir com a solicitação via IW (credenciamento)</x:t>
  </x:si>
  <x:si>
    <x:t xml:space="preserve">Preenchimento Automatico (Informar o nome do canal de vendas padrão, o mesmo será utilizado para as 8 bases.)</x:t>
  </x:si>
  <x:si>
    <x:t xml:space="preserve">Informar o nome da EMPRESA do usuário (preencher conforme registrado no Cartão CNPJ/ receita federal)</x:t>
  </x:si>
  <x:si>
    <x:t xml:space="preserve">Informar se a empresa é PRÓPRIA ou TERCEIRA</x:t>
  </x:si>
  <x:si>
    <x:t xml:space="preserve">CNPJ da EMPRESA (sem pontos). O CNPJ indicado deve ser o mesmo que o usuario esta cadastrado no SGT3/RH</x:t>
  </x:si>
  <x:si>
    <x:t xml:space="preserve">Informar o login do responsável da EQUIPE DE VENDAS - Obrigatório o usuarios já esta no perfil supervisor , para terceiros o Supervisor deve estar associado no SGT3 no mesmo CNPJ/Empresa do vendedor e hierarquia.</x:t>
  </x:si>
  <x:si>
    <x:t xml:space="preserve">Informar o nome do responsável da EQUIPE DE VENDAS</x:t>
  </x:si>
  <x:si>
    <x:t xml:space="preserve">Informar o PERFIL que deseja para o NETSALES</x:t>
  </x:si>
  <x:si>
    <x:t xml:space="preserve">Informar a FORMA DE AUTENTICAÇÃO DUO</x:t>
  </x:si>
  <x:si>
    <x:t xml:space="preserve">Informar a BASE DE ACESSO </x:t>
  </x:si>
  <x:si>
    <x:t xml:space="preserve">Informar a CIDADE DE ATUAÇÃO</x:t>
  </x:si>
  <x:si>
    <x:t xml:space="preserve">Este campo deverá ser preenchido com SIM ou NÃO</x:t>
  </x:si>
  <x:si>
    <x:t xml:space="preserve">OBRIGATORIEDADE</x:t>
  </x:si>
  <x:si>
    <x:t xml:space="preserve">Campo Obrigatório </x:t>
  </x:si>
  <x:si>
    <x:r>
      <x:rPr>
        <x:b/>
        <x:sz val="1000"/>
        <x:color rgb="FFFF0000"/>
      </x:rPr>
      <x:t xml:space="preserve">Campo Obrigatório</x:t>
    </x:r>
    <x:r>
      <x:rPr>
        <x:b/>
        <x:sz val="800"/>
        <x:color rgb="FFFF0000"/>
        <x:rFont val="Calibri"/>
        <x:family val="2"/>
        <x:scheme val="minor"/>
      </x:rPr>
      <x:t xml:space="preserve">
(NÃO preencher quando campo estiver cinza)</x:t>
    </x:r>
  </x:si>
  <x:si>
    <x:t xml:space="preserve">Campo Obrigatório ( com exceção para os perfis Adm's - SALES SUP / GEST / ASSISTENTE)</x:t>
  </x:si>
  <x:si>
    <x:t xml:space="preserve">Campo NÃO Obrigatório </x:t>
  </x:si>
  <x:si>
    <x:t xml:space="preserve">Campo Obrigatório ( com exceção para os perfis Adm's - SALES SUP / GEST / BKO / ASSISTENTE)</x:t>
  </x:si>
  <x:si>
    <x:t xml:space="preserve">Campo Obrigatório (com exceção para o perfil ADM - BACKOFFICE)</x:t>
  </x:si>
  <x:si>
    <x:r>
      <x:rPr>
        <x:b/>
        <x:sz val="1000"/>
        <x:color rgb="FFFF0000"/>
      </x:rPr>
      <x:t xml:space="preserve">Campo NÃO Obrigatório</x:t>
    </x:r>
    <x:r>
      <x:rPr>
        <x:b/>
        <x:sz val="800"/>
        <x:color rgb="FFFF0000"/>
        <x:rFont val="Calibri"/>
        <x:family val="2"/>
        <x:scheme val="minor"/>
      </x:rPr>
      <x:t xml:space="preserve">
(NÃO preencher quando campo estiver cinza)</x:t>
    </x:r>
  </x:si>
  <x:si>
    <x:t xml:space="preserve">Campo para utilização exclusiva da técnica. Demais canais preencher com a opção “NÃO” sempre</x:t>
  </x:si>
  <x:si>
    <x:t xml:space="preserve">EXEMPLO DE PREENCHIMENTO/ RESUMO DO TIPO DE SOLICITAÇÃO</x:t>
  </x:si>
  <x:si>
    <x:t xml:space="preserve">N,T, F ou Z</x:t>
  </x:si>
  <x:si>
    <x:t xml:space="preserve">FULANO DE TAL</x:t>
  </x:si>
  <x:si>
    <x:t xml:space="preserve">Comercial/DAC/Outros</x:t>
  </x:si>
  <x:si>
    <x:t xml:space="preserve">EQUIPE _XYZ</x:t>
  </x:si>
  <x:si>
    <x:t xml:space="preserve">CANAL_XYZ</x:t>
  </x:si>
  <x:si>
    <x:t xml:space="preserve">EMPRESA DO USUÁRIO</x:t>
  </x:si>
  <x:si>
    <x:t xml:space="preserve">TERCEIRA</x:t>
  </x:si>
  <x:si>
    <x:t xml:space="preserve">VENDEDOR</x:t>
  </x:si>
  <x:si>
    <x:t xml:space="preserve">DUO XYZ</x:t>
  </x:si>
  <x:si>
    <x:t xml:space="preserve">TODAS AS BASES</x:t>
  </x:si>
  <x:si>
    <x:t xml:space="preserve">SAO PAULO</x:t>
  </x:si>
  <x:si>
    <x:t xml:space="preserve">SIM</x:t>
  </x:si>
  <x:si>
    <x:t xml:space="preserve">NÃO</x:t>
  </x:si>
  <x:si>
    <x:t xml:space="preserve">DIRETORIA</x:t>
  </x:si>
  <x:si>
    <x:t xml:space="preserve">CANAL DE VENDAS</x:t>
  </x:si>
  <x:si>
    <x:t xml:space="preserve">PERFIL NET SALES</x:t>
  </x:si>
  <x:si>
    <x:t xml:space="preserve">BASES</x:t>
  </x:si>
  <x:si>
    <x:t xml:space="preserve">CRIAÇÃO: ACESSO NET SMS</x:t>
  </x:si>
  <x:si>
    <x:t xml:space="preserve">NÃO PREENCHER OS CAMPOS EM CINZA</x:t>
  </x:si>
  <x:si>
    <x:t xml:space="preserve">AGENTE AUTORIZ - REGIONAL CTF</x:t>
  </x:si>
  <x:si>
    <x:t xml:space="preserve">COMERCIAL</x:t>
  </x:si>
  <x:si>
    <x:t xml:space="preserve">PRÓPRIA</x:t>
  </x:si>
  <x:si>
    <x:t xml:space="preserve">ASSISTENTE_CANAL</x:t>
  </x:si>
  <x:si>
    <x:t xml:space="preserve">DUO MOBILE</x:t>
  </x:si>
  <x:si>
    <x:t xml:space="preserve">AGENTE AUTORIZADO</x:t>
  </x:si>
  <x:si>
    <x:t xml:space="preserve">BACKOFFICE_CRN</x:t>
  </x:si>
  <x:si>
    <x:t xml:space="preserve">DUO DESKTOP</x:t>
  </x:si>
  <x:si>
    <x:t xml:space="preserve">AGENTE AUTORIZADO - ACE</x:t>
  </x:si>
  <x:si>
    <x:t xml:space="preserve">COMERCIAL_BKO_BACKLOG</x:t>
  </x:si>
  <x:si>
    <x:t xml:space="preserve">AGENTE AUTORIZADO - CLARO</x:t>
  </x:si>
  <x:si>
    <x:t xml:space="preserve">GESTOR</x:t>
  </x:si>
  <x:si>
    <x:t xml:space="preserve">AGENTE AUTORIZADO -KEY ACCOUNT</x:t>
  </x:si>
  <x:si>
    <x:t xml:space="preserve">NÃO SE APLICA</x:t>
  </x:si>
  <x:si>
    <x:t xml:space="preserve">AGRONEGOCIO PME</x:t>
  </x:si>
  <x:si>
    <x:t xml:space="preserve">PLANEJAMENTO COMERCIAL</x:t>
  </x:si>
  <x:si>
    <x:t xml:space="preserve">ATIVO - ACOES ESPECIAIS</x:t>
  </x:si>
  <x:si>
    <x:t xml:space="preserve">SUPERVISOR</x:t>
  </x:si>
  <x:si>
    <x:t xml:space="preserve">ATIVO AGENTE AUTORIZADO</x:t>
  </x:si>
  <x:si>
    <x:t xml:space="preserve">ATIVO AQUISICAO INDIRETO</x:t>
  </x:si>
  <x:si>
    <x:t xml:space="preserve">VENDEDOR_EBT</x:t>
  </x:si>
  <x:si>
    <x:t xml:space="preserve">ATIVO LOCAL GB</x:t>
  </x:si>
  <x:si>
    <x:t xml:space="preserve">ATIVO NACIONAL</x:t>
  </x:si>
  <x:si>
    <x:t xml:space="preserve">BKO CENTRALIZADO COMERCIAL</x:t>
  </x:si>
  <x:si>
    <x:t xml:space="preserve">CORPORATE</x:t>
  </x:si>
  <x:si>
    <x:t xml:space="preserve">D2D - CLARO PESSOAL</x:t>
  </x:si>
  <x:si>
    <x:t xml:space="preserve">D2D - CONDOMINIO</x:t>
  </x:si>
  <x:si>
    <x:t xml:space="preserve">D2D - ESPECIALISTA</x:t>
  </x:si>
  <x:si>
    <x:t xml:space="preserve">D2D - PME</x:t>
  </x:si>
  <x:si>
    <x:r>
      <x:t xml:space="preserve">GERADORES</x:t>
    </x:r>
    <x:r>
      <x:rPr>
        <x:sz val="12"/>
        <x:color rgb="FF000000"/>
        <x:rFont val="Aptos"/>
        <x:family val="2"/>
      </x:rPr>
      <x:t xml:space="preserve"> </x:t>
    </x:r>
  </x:si>
  <x:si>
    <x:t xml:space="preserve">HOSPITALITY</x:t>
  </x:si>
  <x:si>
    <x:t xml:space="preserve">INSIDE SALES</x:t>
  </x:si>
  <x:si>
    <x:t xml:space="preserve">INTERNET</x:t>
  </x:si>
  <x:si>
    <x:t xml:space="preserve">ISP</x:t>
  </x:si>
  <x:si>
    <x:t xml:space="preserve">LOJAS - CLARO</x:t>
  </x:si>
  <x:si>
    <x:t xml:space="preserve">PEC</x:t>
  </x:si>
  <x:si>
    <x:t xml:space="preserve">PESQUISA TESTE -RENTABILIZACAO</x:t>
  </x:si>
  <x:si>
    <x:t xml:space="preserve">PORTA A PORTA AA</x:t>
  </x:si>
  <x:si>
    <x:t xml:space="preserve">POS VENDA</x:t>
  </x:si>
  <x:si>
    <x:t xml:space="preserve">QUALIDADE COMERCIAL MATRIZ</x:t>
  </x:si>
  <x:si>
    <x:t xml:space="preserve">RECEP RENTABILIZACAO ESPECIAL</x:t>
  </x:si>
  <x:si>
    <x:t xml:space="preserve">TLV NAC - RECEP RENTABILIZACAO</x:t>
  </x:si>
  <x:si>
    <x:t xml:space="preserve">TLV NACIONAL - RECEPTIVO</x:t>
  </x:si>
  <x:si>
    <x:t xml:space="preserve">TLV NACIONAL - RECEPTIVO FLEX</x:t>
  </x:si>
  <x:si>
    <x:t xml:space="preserve">TOP PME</x:t>
  </x:si>
  <x:si>
    <x:t xml:space="preserve">VAREJO</x:t>
  </x:si>
  <x:si>
    <x:t xml:space="preserve">CRN NACIONAL</x:t>
  </x:si>
  <x:si>
    <x:t xml:space="preserve">DAC</x:t>
  </x:si>
  <x:si>
    <x:t xml:space="preserve">D2D - CONVERSAO MDU</x:t>
  </x:si>
  <x:si>
    <x:t xml:space="preserve">DAC CARTEIRIZADO</x:t>
  </x:si>
  <x:si>
    <x:t xml:space="preserve">FUNCIONARIO</x:t>
  </x:si>
  <x:si>
    <x:t xml:space="preserve">OUVIDORIA</x:t>
  </x:si>
  <x:si>
    <x:t xml:space="preserve">PJ GOV RESIDENCIAL</x:t>
  </x:si>
  <x:si>
    <x:t xml:space="preserve">RETENCAO/REVERSAO</x:t>
  </x:si>
  <x:si>
    <x:t xml:space="preserve">SAC SINERGIA</x:t>
  </x:si>
  <x:si>
    <x:t xml:space="preserve">EMBRATEL CORPORATIVO</x:t>
  </x:si>
  <x:si>
    <x:t xml:space="preserve">OUTROS</x:t>
  </x:si>
  <x:si>
    <x:t xml:space="preserve">PESQUISA E TESTES</x:t>
  </x:si>
  <x:si>
    <x:t xml:space="preserve">TECNICA</x:t>
  </x:si>
  <x:si>
    <x:t xml:space="preserve">VENDAS VIA NOVITECH</x:t>
  </x:si>
  <x:si>
    <x:t xml:space="preserve">QUALIDADE REGIONAL</x:t>
  </x:si>
</x:sst>
</file>

<file path=xl/styles.xml><?xml version="1.0" encoding="utf-8"?>
<x:styleSheet xmlns:x="http://schemas.openxmlformats.org/spreadsheetml/2006/main">
  <x:numFmts count="1">
    <x:numFmt numFmtId="164" formatCode="00000000000"/>
  </x:numFmts>
  <x:fonts count="44">
    <x:font>
      <x:sz val="11"/>
      <x:color theme="1"/>
      <x:name val="Calibri"/>
    </x:font>
    <x:font>
      <x:sz val="11"/>
      <x:color theme="0"/>
      <x:name val="Calibri"/>
    </x:font>
    <x:font>
      <x:b/>
      <x:sz val="10"/>
      <x:name val="Calibri"/>
    </x:font>
    <x:font>
      <x:b/>
      <x:sz val="10"/>
      <x:color rgb="FFFF0000"/>
      <x:name val="Calibri"/>
    </x:font>
    <x:font>
      <x:b/>
      <x:sz val="20"/>
      <x:color theme="1"/>
      <x:name val="Calibri"/>
    </x:font>
    <x:font>
      <x:sz val="9"/>
      <x:name val="Arial"/>
    </x:font>
    <x:font>
      <x:b/>
      <x:sz val="20"/>
      <x:color rgb="FFFF0000"/>
      <x:name val="Calibri"/>
    </x:font>
    <x:font>
      <x:sz val="10"/>
      <x:color theme="1"/>
      <x:name val="Arial"/>
    </x:font>
    <x:font>
      <x:sz val="10"/>
      <x:color theme="0"/>
      <x:name val="Arial"/>
    </x:font>
    <x:font>
      <x:b/>
      <x:sz val="14"/>
      <x:name val="Calibri"/>
    </x:font>
    <x:font>
      <x:b/>
      <x:sz val="24"/>
      <x:color theme="0"/>
      <x:name val="Calibri"/>
    </x:font>
    <x:font>
      <x:b/>
      <x:sz val="10"/>
      <x:color theme="0"/>
      <x:name val="Verdana"/>
    </x:font>
    <x:font>
      <x:b/>
      <x:sz val="8"/>
      <x:color theme="0"/>
      <x:name val="Verdana"/>
    </x:font>
    <x:font>
      <x:sz val="11"/>
      <x:color theme="1"/>
      <x:name val="Calibri"/>
    </x:font>
    <x:font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b/>
      <x:sz val="9"/>
      <x:name val="Verdana"/>
    </x:font>
    <x:font>
      <x:sz val="9"/>
      <x:color theme="1"/>
      <x:name val="Calibri"/>
    </x:font>
    <x:font>
      <x:b/>
      <x:sz val="8"/>
      <x:color rgb="FFFF0000"/>
      <x:name val="Verdana"/>
    </x:font>
    <x:font>
      <x:b/>
      <x:sz val="8"/>
      <x:color rgb="FFFF0000"/>
      <x:name val="Calibri"/>
    </x:font>
    <x:font>
      <x:sz val="10"/>
      <x:color theme="1"/>
      <x:name val="Calibri"/>
    </x:font>
    <x:font>
      <x:sz val="9"/>
      <x:name val="Verdana"/>
    </x:font>
    <x:font>
      <x:sz val="9"/>
      <x:color rgb="FF000000"/>
      <x:name val="Segoe UI Light"/>
    </x:font>
    <x:font>
      <x:sz val="11"/>
      <x:color rgb="FF000000"/>
      <x:name val="Segoe UI Light"/>
    </x:font>
    <x:font>
      <x:sz val="11"/>
      <x:color rgb="FF000000"/>
      <x:name val="Calibri"/>
    </x:font>
    <x:font>
      <x:b/>
      <x:sz val="11"/>
      <x:color rgb="FFFF0000"/>
      <x:name val="Segoe UI Light"/>
    </x:font>
    <x:font>
      <x:b/>
      <x:sz val="9"/>
      <x:color rgb="FFFF0000"/>
      <x:name val="Segoe UI Light"/>
    </x:font>
    <x:font>
      <x:b/>
      <x:sz val="11"/>
      <x:color rgb="FFFFFFFF"/>
      <x:name val="Segoe UI Light"/>
    </x:font>
    <x:font>
      <x:b/>
      <x:sz val="12"/>
      <x:color rgb="FFFFFFFF"/>
      <x:name val="Segoe UI Light"/>
    </x:font>
    <x:font>
      <x:b/>
      <x:sz val="18"/>
      <x:color rgb="FFFFFFFF"/>
      <x:name val="Segoe UI Light"/>
    </x:font>
    <x:font>
      <x:sz val="12"/>
      <x:color rgb="FF000000"/>
      <x:name val="Aptos"/>
    </x:font>
  </x:fonts>
  <x:fills count="43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0"/>
      </x:patternFill>
    </x:fill>
    <x:fill>
      <x:patternFill patternType="solid">
        <x:fgColor theme="4" tint="-0.24998"/>
      </x:patternFill>
    </x:fill>
    <x:fill>
      <x:patternFill patternType="solid">
        <x:fgColor rgb="FFC00000"/>
      </x:patternFill>
    </x:fill>
    <x:fill>
      <x:patternFill patternType="solid">
        <x:fgColor theme="0" tint="-0.34999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theme="8" tint="0.39998"/>
      </x:patternFill>
    </x:fill>
    <x:fill>
      <x:patternFill patternType="solid">
        <x:fgColor rgb="FFF3E7E8"/>
      </x:patternFill>
    </x:fill>
    <x:fill>
      <x:patternFill patternType="solid">
        <x:fgColor theme="2" tint="-0.89999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rgb="FFFFFFFF"/>
      </x:left>
      <x:right style="medium">
        <x:color rgb="FFFFFFFF"/>
      </x:right>
      <x:top style="medium">
        <x:color rgb="FFFFFFFF"/>
      </x:top>
      <x:bottom style="medium">
        <x:color rgb="FFFFFFFF"/>
      </x:bottom>
    </x:border>
    <x:border>
      <x:left style="medium">
        <x:color rgb="FFFFFFFF"/>
      </x:left>
      <x:right style="medium">
        <x:color rgb="FFFFFFFF"/>
      </x:right>
      <x:top style="medium">
        <x:color rgb="FFFFFFFF"/>
      </x:top>
    </x:border>
    <x:border>
      <x:left style="medium">
        <x:color rgb="FFFFFFFF"/>
      </x:left>
      <x:right style="medium">
        <x:color rgb="FFFFFFFF"/>
      </x:right>
    </x:border>
    <x:border>
      <x:left style="medium">
        <x:color rgb="FFFFFFFF"/>
      </x:left>
      <x:right style="medium">
        <x:color rgb="FFFFFFFF"/>
      </x:right>
      <x:bottom style="medium">
        <x:color rgb="FFFFFFFF"/>
      </x:bottom>
    </x:border>
    <x:border>
      <x:left style="medium">
        <x:color rgb="FFFFFFFF"/>
      </x:left>
    </x:border>
    <x:border>
      <x:left style="medium">
        <x:color rgb="FFFFFFFF"/>
      </x:left>
      <x:top style="medium">
        <x:color rgb="FFFFFFFF"/>
      </x:top>
      <x:bottom style="medium">
        <x:color rgb="FFFFFFFF"/>
      </x:bottom>
    </x:border>
    <x:border>
      <x:right style="medium">
        <x:color rgb="FFFFFFFF"/>
      </x:right>
      <x:top style="medium">
        <x:color rgb="FFFFFFFF"/>
      </x:top>
      <x:bottom style="medium">
        <x:color rgb="FFFFFFFF"/>
      </x:bottom>
    </x:border>
  </x:borders>
  <x:cellStyleXfs count="42">
    <x:xf numFmtId="0" fontId="0" fillId="0" borderId="0"/>
    <x:xf numFmtId="0" fontId="14" fillId="0" borderId="0" applyNumberForma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7" borderId="0" applyNumberFormat="0" applyBorder="0" applyAlignment="0" applyProtection="0"/>
    <x:xf numFmtId="0" fontId="19" fillId="8" borderId="0" applyNumberFormat="0" applyBorder="0" applyAlignment="0" applyProtection="0"/>
    <x:xf numFmtId="0" fontId="20" fillId="9" borderId="0" applyNumberFormat="0" applyBorder="0" applyAlignment="0" applyProtection="0"/>
    <x:xf numFmtId="0" fontId="21" fillId="10" borderId="6" applyNumberFormat="0" applyAlignment="0" applyProtection="0"/>
    <x:xf numFmtId="0" fontId="22" fillId="11" borderId="7" applyNumberFormat="0" applyAlignment="0" applyProtection="0"/>
    <x:xf numFmtId="0" fontId="23" fillId="11" borderId="6" applyNumberFormat="0" applyAlignment="0" applyProtection="0"/>
    <x:xf numFmtId="0" fontId="24" fillId="0" borderId="8" applyNumberFormat="0" applyFill="0" applyAlignment="0" applyProtection="0"/>
    <x:xf numFmtId="0" fontId="25" fillId="12" borderId="9" applyNumberFormat="0" applyAlignment="0" applyProtection="0"/>
    <x:xf numFmtId="0" fontId="26" fillId="0" borderId="0" applyNumberFormat="0" applyFill="0" applyBorder="0" applyAlignment="0" applyProtection="0"/>
    <x:xf numFmtId="0" fontId="13" fillId="13" borderId="10" applyNumberFormat="0" applyFont="0" applyAlignment="0" applyProtection="0"/>
    <x:xf numFmtId="0" fontId="27" fillId="0" borderId="0" applyNumberFormat="0" applyFill="0" applyBorder="0" applyAlignment="0" applyProtection="0"/>
    <x:xf numFmtId="0" fontId="28" fillId="0" borderId="11" applyNumberFormat="0" applyFill="0" applyAlignment="0" applyProtection="0"/>
    <x:xf numFmtId="0" fontId="1" fillId="14" borderId="0" applyNumberFormat="0" applyBorder="0" applyAlignment="0" applyProtection="0"/>
    <x:xf numFmtId="0" fontId="13" fillId="15" borderId="0" applyNumberFormat="0" applyBorder="0" applyAlignment="0" applyProtection="0"/>
    <x:xf numFmtId="0" fontId="13" fillId="16" borderId="0" applyNumberFormat="0" applyBorder="0" applyAlignment="0" applyProtection="0"/>
    <x:xf numFmtId="0" fontId="1" fillId="17" borderId="0" applyNumberFormat="0" applyBorder="0" applyAlignment="0" applyProtection="0"/>
    <x:xf numFmtId="0" fontId="1" fillId="18" borderId="0" applyNumberFormat="0" applyBorder="0" applyAlignment="0" applyProtection="0"/>
    <x:xf numFmtId="0" fontId="13" fillId="19" borderId="0" applyNumberFormat="0" applyBorder="0" applyAlignment="0" applyProtection="0"/>
    <x:xf numFmtId="0" fontId="13" fillId="20" borderId="0" applyNumberFormat="0" applyBorder="0" applyAlignment="0" applyProtection="0"/>
    <x:xf numFmtId="0" fontId="1" fillId="21" borderId="0" applyNumberFormat="0" applyBorder="0" applyAlignment="0" applyProtection="0"/>
    <x:xf numFmtId="0" fontId="1" fillId="22" borderId="0" applyNumberFormat="0" applyBorder="0" applyAlignment="0" applyProtection="0"/>
    <x:xf numFmtId="0" fontId="13" fillId="23" borderId="0" applyNumberFormat="0" applyBorder="0" applyAlignment="0" applyProtection="0"/>
    <x:xf numFmtId="0" fontId="13" fillId="24" borderId="0" applyNumberFormat="0" applyBorder="0" applyAlignment="0" applyProtection="0"/>
    <x:xf numFmtId="0" fontId="1" fillId="25" borderId="0" applyNumberFormat="0" applyBorder="0" applyAlignment="0" applyProtection="0"/>
    <x:xf numFmtId="0" fontId="1" fillId="26" borderId="0" applyNumberFormat="0" applyBorder="0" applyAlignment="0" applyProtection="0"/>
    <x:xf numFmtId="0" fontId="13" fillId="27" borderId="0" applyNumberFormat="0" applyBorder="0" applyAlignment="0" applyProtection="0"/>
    <x:xf numFmtId="0" fontId="13" fillId="28" borderId="0" applyNumberFormat="0" applyBorder="0" applyAlignment="0" applyProtection="0"/>
    <x:xf numFmtId="0" fontId="1" fillId="29" borderId="0" applyNumberFormat="0" applyBorder="0" applyAlignment="0" applyProtection="0"/>
    <x:xf numFmtId="0" fontId="1" fillId="30" borderId="0" applyNumberFormat="0" applyBorder="0" applyAlignment="0" applyProtection="0"/>
    <x:xf numFmtId="0" fontId="13" fillId="31" borderId="0" applyNumberFormat="0" applyBorder="0" applyAlignment="0" applyProtection="0"/>
    <x:xf numFmtId="0" fontId="13" fillId="32" borderId="0" applyNumberFormat="0" applyBorder="0" applyAlignment="0" applyProtection="0"/>
    <x:xf numFmtId="0" fontId="1" fillId="33" borderId="0" applyNumberFormat="0" applyBorder="0" applyAlignment="0" applyProtection="0"/>
    <x:xf numFmtId="0" fontId="1" fillId="34" borderId="0" applyNumberFormat="0" applyBorder="0" applyAlignment="0" applyProtection="0"/>
    <x:xf numFmtId="0" fontId="13" fillId="35" borderId="0" applyNumberFormat="0" applyBorder="0" applyAlignment="0" applyProtection="0"/>
    <x:xf numFmtId="0" fontId="13" fillId="36" borderId="0" applyNumberFormat="0" applyBorder="0" applyAlignment="0" applyProtection="0"/>
    <x:xf numFmtId="0" fontId="1" fillId="37" borderId="0" applyNumberFormat="0" applyBorder="0" applyAlignment="0" applyProtection="0"/>
  </x:cellStyleXfs>
  <x:cellXfs count="56">
    <x:xf numFmtId="0" fontId="0" fillId="0" borderId="0" xfId="0"/>
    <x:xf numFmtId="0" fontId="1" fillId="4" borderId="0" xfId="0" applyFont="1" applyFill="1"/>
    <x:xf numFmtId="0" fontId="8" fillId="4" borderId="0" xfId="0" applyFont="1" applyFill="1"/>
    <x:xf numFmtId="0" fontId="7" fillId="0" borderId="0" xfId="0" applyFont="1" applyAlignment="1">
      <x:alignment vertical="center"/>
    </x:xf>
    <x:xf numFmtId="0" fontId="5" fillId="0" borderId="0" xfId="0" applyFont="1"/>
    <x:xf numFmtId="0" fontId="0" fillId="0" borderId="1" xfId="0" applyBorder="1"/>
    <x:xf numFmtId="0" fontId="33" fillId="0" borderId="0" xfId="0" applyFont="1" applyAlignment="1">
      <x:alignment vertical="center" wrapText="1"/>
    </x:xf>
    <x:xf numFmtId="0" fontId="7" fillId="39" borderId="0" xfId="0" applyFont="1" applyFill="1" applyAlignment="1">
      <x:alignment vertical="center"/>
    </x:xf>
    <x:xf numFmtId="0" fontId="5" fillId="40" borderId="0" xfId="0" applyFont="1" applyFill="1"/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11" fillId="5" borderId="1" xfId="0" applyFont="1" applyFill="1" applyBorder="1" applyAlignment="1">
      <x:alignment horizontal="center" vertical="center" wrapText="1"/>
    </x:xf>
    <x:xf numFmtId="164" fontId="11" fillId="5" borderId="1" xfId="0" applyNumberFormat="1" applyFont="1" applyFill="1" applyBorder="1" applyAlignment="1">
      <x:alignment horizontal="center" vertical="center" wrapText="1"/>
    </x:xf>
    <x:xf numFmtId="0" fontId="30" fillId="0" borderId="0" xfId="0" applyFont="1"/>
    <x:xf numFmtId="0" fontId="2" fillId="3" borderId="1" xfId="0" applyFont="1" applyFill="1" applyBorder="1" applyAlignment="1">
      <x:alignment horizontal="center" vertical="center" wrapText="1"/>
    </x:xf>
    <x:xf numFmtId="0" fontId="29" fillId="3" borderId="1" xfId="0" applyFont="1" applyFill="1" applyBorder="1" applyAlignment="1">
      <x:alignment horizontal="center" vertical="center" wrapText="1"/>
    </x:xf>
    <x:xf numFmtId="0" fontId="31" fillId="3" borderId="1" xfId="0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0" fillId="2" borderId="2" xfId="0" applyFill="1" applyBorder="1" applyAlignment="1">
      <x:alignment horizontal="center" vertical="center"/>
    </x:xf>
    <x:xf numFmtId="1" fontId="0" fillId="2" borderId="2" xfId="0" applyNumberFormat="1" applyFill="1" applyBorder="1" applyAlignment="1">
      <x:alignment horizontal="center" vertical="center"/>
    </x:xf>
    <x:xf numFmtId="0" fontId="0" fillId="0" borderId="1" xfId="0" applyBorder="1"/>
    <x:xf numFmtId="0" fontId="33" fillId="3" borderId="1" xfId="0" applyFont="1" applyFill="1" applyBorder="1" applyAlignment="1">
      <x:alignment horizontal="center" vertical="center" wrapText="1"/>
    </x:xf>
    <x:xf numFmtId="0" fontId="0" fillId="2" borderId="1" xfId="0" applyFill="1" applyBorder="1"/>
    <x:xf numFmtId="0" fontId="33" fillId="3" borderId="1" xfId="0" applyFont="1" applyFill="1" applyBorder="1" applyAlignment="1">
      <x:alignment vertical="center" wrapText="1"/>
    </x:xf>
    <x:xf numFmtId="0" fontId="33" fillId="0" borderId="0" xfId="0" applyFont="1"/>
    <x:xf numFmtId="0" fontId="40" fillId="5" borderId="15" xfId="0" applyFont="1" applyFill="1" applyBorder="1" applyAlignment="1">
      <x:alignment horizontal="left" vertical="center" wrapText="1"/>
    </x:xf>
    <x:xf numFmtId="0" fontId="40" fillId="5" borderId="15" xfId="0" applyFont="1" applyFill="1" applyBorder="1" applyAlignment="1">
      <x:alignment horizontal="center" vertical="center" wrapText="1"/>
    </x:xf>
    <x:xf numFmtId="0" fontId="35" fillId="41" borderId="15" xfId="0" applyFont="1" applyFill="1" applyBorder="1" applyAlignment="1">
      <x:alignment horizontal="left" vertical="center" wrapText="1"/>
    </x:xf>
    <x:xf numFmtId="0" fontId="36" fillId="41" borderId="15" xfId="0" applyFont="1" applyFill="1" applyBorder="1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 wrapText="1"/>
    </x:xf>
    <x:xf numFmtId="0" fontId="0" fillId="0" borderId="1" xfId="0" applyBorder="1"/>
    <x:xf numFmtId="0" fontId="11" fillId="5" borderId="1" xfId="0" applyFont="1" applyFill="1" applyBorder="1" applyAlignment="1">
      <x:alignment horizontal="center" vertical="center" wrapText="1"/>
    </x:xf>
    <x:xf numFmtId="0" fontId="4" fillId="3" borderId="0" xfId="0" applyFont="1" applyFill="1" applyAlignment="1">
      <x:alignment horizontal="left" vertical="center"/>
    </x:xf>
    <x:xf numFmtId="0" fontId="10" fillId="5" borderId="12" xfId="0" applyFont="1" applyFill="1" applyBorder="1" applyAlignment="1">
      <x:alignment horizontal="center" vertical="center"/>
    </x:xf>
    <x:xf numFmtId="0" fontId="10" fillId="5" borderId="13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14" xfId="0" applyFont="1" applyFill="1" applyBorder="1" applyAlignment="1">
      <x:alignment horizontal="center" vertical="center" wrapText="1"/>
    </x:xf>
    <x:xf numFmtId="164" fontId="11" fillId="5" borderId="1" xfId="0" applyNumberFormat="1" applyFont="1" applyFill="1" applyBorder="1" applyAlignment="1">
      <x:alignment horizontal="center" vertical="center" wrapText="1"/>
    </x:xf>
    <x:xf numFmtId="0" fontId="9" fillId="38" borderId="1" xfId="0" applyFont="1" applyFill="1" applyBorder="1" applyAlignment="1">
      <x:alignment horizontal="center" wrapText="1"/>
    </x:xf>
    <x:xf numFmtId="0" fontId="9" fillId="38" borderId="1" xfId="0" applyFont="1" applyFill="1" applyBorder="1" applyAlignment="1">
      <x:alignment horizontal="center"/>
    </x:xf>
    <x:xf numFmtId="0" fontId="12" fillId="5" borderId="1" xfId="0" applyFont="1" applyFill="1" applyBorder="1" applyAlignment="1">
      <x:alignment horizontal="center" vertical="center" wrapText="1"/>
    </x:xf>
    <x:xf numFmtId="0" fontId="37" fillId="41" borderId="16" xfId="0" applyFont="1" applyFill="1" applyBorder="1" applyAlignment="1">
      <x:alignment horizontal="center" vertical="center" wrapText="1"/>
    </x:xf>
    <x:xf numFmtId="0" fontId="37" fillId="41" borderId="17" xfId="0" applyFont="1" applyFill="1" applyBorder="1" applyAlignment="1">
      <x:alignment horizontal="center" vertical="center" wrapText="1"/>
    </x:xf>
    <x:xf numFmtId="0" fontId="37" fillId="41" borderId="18" xfId="0" applyFont="1" applyFill="1" applyBorder="1" applyAlignment="1">
      <x:alignment horizontal="center" vertical="center" wrapText="1"/>
    </x:xf>
    <x:xf numFmtId="0" fontId="42" fillId="42" borderId="19" xfId="0" applyFont="1" applyFill="1" applyBorder="1" applyAlignment="1">
      <x:alignment horizontal="center" vertical="center" wrapText="1"/>
    </x:xf>
    <x:xf numFmtId="0" fontId="42" fillId="42" borderId="0" xfId="0" applyFont="1" applyFill="1" applyAlignment="1">
      <x:alignment horizontal="center" vertical="center" wrapText="1"/>
    </x:xf>
    <x:xf numFmtId="0" fontId="40" fillId="42" borderId="19" xfId="0" applyFont="1" applyFill="1" applyBorder="1" applyAlignment="1">
      <x:alignment horizontal="center" vertical="center" wrapText="1"/>
    </x:xf>
    <x:xf numFmtId="0" fontId="40" fillId="42" borderId="0" xfId="0" applyFont="1" applyFill="1" applyAlignment="1">
      <x:alignment horizontal="center" vertical="center" wrapText="1"/>
    </x:xf>
    <x:xf numFmtId="0" fontId="41" fillId="42" borderId="19" xfId="0" applyFont="1" applyFill="1" applyBorder="1" applyAlignment="1">
      <x:alignment horizontal="center" vertical="center" wrapText="1"/>
    </x:xf>
    <x:xf numFmtId="0" fontId="41" fillId="42" borderId="0" xfId="0" applyFont="1" applyFill="1" applyAlignment="1">
      <x:alignment horizontal="center" vertical="center" wrapText="1"/>
    </x:xf>
    <x:xf numFmtId="0" fontId="35" fillId="41" borderId="20" xfId="0" applyFont="1" applyFill="1" applyBorder="1" applyAlignment="1">
      <x:alignment horizontal="center" vertical="center" wrapText="1"/>
    </x:xf>
    <x:xf numFmtId="0" fontId="35" fillId="41" borderId="21" xfId="0" applyFont="1" applyFill="1" applyBorder="1" applyAlignment="1">
      <x:alignment horizontal="center" vertical="center" wrapText="1"/>
    </x:xf>
    <x:xf numFmtId="0" fontId="1" fillId="4" borderId="0" xfId="0" applyFont="1" applyFill="1" applyAlignment="1">
      <x:alignment horizontal="center"/>
    </x:xf>
  </x:cellXfs>
  <x:cellStyles count="42">
    <x:cellStyle name="20% - Ênfase1" xfId="19"/>
    <x:cellStyle name="20% - Ênfase2" xfId="23"/>
    <x:cellStyle name="20% - Ênfase3" xfId="27"/>
    <x:cellStyle name="20% - Ênfase4" xfId="31"/>
    <x:cellStyle name="20% - Ênfase5" xfId="35"/>
    <x:cellStyle name="20% - Ênfase6" xfId="39"/>
    <x:cellStyle name="40% - Ênfase1" xfId="20"/>
    <x:cellStyle name="40% - Ênfase2" xfId="24"/>
    <x:cellStyle name="40% - Ênfase3" xfId="28"/>
    <x:cellStyle name="40% - Ênfase4" xfId="32"/>
    <x:cellStyle name="40% - Ênfase5" xfId="36"/>
    <x:cellStyle name="40% - Ênfase6" xfId="40"/>
    <x:cellStyle name="60% - Ênfase1" xfId="21"/>
    <x:cellStyle name="60% - Ênfase2" xfId="25"/>
    <x:cellStyle name="60% - Ênfase3" xfId="29"/>
    <x:cellStyle name="60% - Ênfase4" xfId="33"/>
    <x:cellStyle name="60% - Ênfase5" xfId="37"/>
    <x:cellStyle name="60% - Ênfase6" xfId="41"/>
    <x:cellStyle name="Bom" xfId="6"/>
    <x:cellStyle name="Cálculo" xfId="11"/>
    <x:cellStyle name="Célula de Verificação" xfId="13"/>
    <x:cellStyle name="Célula Vinculada" xfId="12"/>
    <x:cellStyle name="Ênfase1" xfId="18"/>
    <x:cellStyle name="Ênfase2" xfId="22"/>
    <x:cellStyle name="Ênfase3" xfId="26"/>
    <x:cellStyle name="Ênfase4" xfId="30"/>
    <x:cellStyle name="Ênfase5" xfId="34"/>
    <x:cellStyle name="Ênfase6" xfId="38"/>
    <x:cellStyle name="Entrada" xfId="9"/>
    <x:cellStyle name="Neutro" xfId="8"/>
    <x:cellStyle name="Normal" xfId="0"/>
    <x:cellStyle name="Nota" xfId="15"/>
    <x:cellStyle name="Ruim" xfId="7"/>
    <x:cellStyle name="Saída" xfId="10"/>
    <x:cellStyle name="Texto de Aviso" xfId="14"/>
    <x:cellStyle name="Texto Explicativo" xfId="16"/>
    <x:cellStyle name="Título" xfId="1"/>
    <x:cellStyle name="Título 1" xfId="2"/>
    <x:cellStyle name="Título 2" xfId="3"/>
    <x:cellStyle name="Título 3" xfId="4"/>
    <x:cellStyle name="Título 4" xfId="5"/>
    <x:cellStyle name="Total" xfId="17"/>
  </x:cellStyles>
  <x:dxfs count="4">
    <x:dxf>
      <x:fill>
        <x:patternFill>
          <x:bgColor theme="1" tint="0.24995"/>
        </x:patternFill>
      </x:fill>
    </x:dxf>
    <x:dxf>
      <x:fill>
        <x:patternFill>
          <x:bgColor theme="1" tint="0.24995"/>
        </x:patternFill>
      </x:fill>
    </x:dxf>
    <x:dxf>
      <x:fill>
        <x:patternFill>
          <x:bgColor theme="1" tint="0.24995"/>
        </x:patternFill>
      </x:fill>
    </x:dxf>
    <x:dxf>
      <x:font>
        <x:b/>
        <x:color theme="0"/>
      </x:font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0adc45da34650" /><Relationship Type="http://schemas.openxmlformats.org/officeDocument/2006/relationships/theme" Target="/xl/theme/theme1.xml" Id="R48207d41a79a405d" /><Relationship Type="http://schemas.openxmlformats.org/officeDocument/2006/relationships/sharedStrings" Target="/xl/sharedStrings.xml" Id="R7979e1095cfb4b43" /><Relationship Type="http://schemas.openxmlformats.org/officeDocument/2006/relationships/worksheet" Target="/xl/worksheets/sheet1.xml" Id="Ra0d1e384583746d8" /><Relationship Type="http://schemas.openxmlformats.org/officeDocument/2006/relationships/worksheet" Target="/xl/worksheets/sheet2.xml" Id="R0dc71121a4c1460f" /><Relationship Type="http://schemas.openxmlformats.org/officeDocument/2006/relationships/worksheet" Target="/xl/worksheets/sheet3.xml" Id="R189c5cef58ec4d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b7d3c554966b42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d78dc99022c64142" /><Relationship Type="http://schemas.openxmlformats.org/officeDocument/2006/relationships/image" Target="/xl/media/image.png" Id="R99e9137b4c2a49ea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147342</xdr:colOff>
      <xdr:row>15</xdr:row>
      <xdr:rowOff>9622</xdr:rowOff>
    </xdr:from>
    <xdr:to>
      <xdr:col>3</xdr:col>
      <xdr:colOff>1907199</xdr:colOff>
      <xdr:row>19</xdr:row>
      <xdr:rowOff>105833</xdr:rowOff>
    </xdr:to>
    <xdr:pic>
      <xdr:nvPicPr>
        <xdr:cNvPr id="1" name="/xl/media/image1.gi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d3c554966b42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</xdr:col>
      <xdr:colOff>25400</xdr:colOff>
      <xdr:row>4</xdr:row>
      <xdr:rowOff>22314</xdr:rowOff>
    </xdr:from>
    <xdr:to>
      <xdr:col>1</xdr:col>
      <xdr:colOff>885825</xdr:colOff>
      <xdr:row>4</xdr:row>
      <xdr:rowOff>763876</xdr:rowOff>
    </xdr:to>
    <xdr:pic>
      <xdr:nvPicPr>
        <xdr:cNvPr id="1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8dc99022c641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1054100</xdr:colOff>
      <xdr:row>4</xdr:row>
      <xdr:rowOff>38100</xdr:rowOff>
    </xdr:from>
    <xdr:to>
      <xdr:col>1</xdr:col>
      <xdr:colOff>2505075</xdr:colOff>
      <xdr:row>4</xdr:row>
      <xdr:rowOff>759341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9137b4c2a49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33d520e7094c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b5d91180035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4.453125" customWidth="1"/>
    <x:col min="2" max="2" width="62.54296875" customWidth="1"/>
    <x:col min="3" max="3" width="123.26953125" customWidth="1"/>
    <x:col min="4" max="4" width="27.81640625" customWidth="1"/>
    <x:col min="5" max="16383" width="39.54296875" hidden="1" customWidth="0"/>
    <x:col min="16384" max="16384" width="35" hidden="1" customWidth="1"/>
  </x:cols>
  <x:sheetData>
    <x:row r="1" ht="28" customHeight="1">
      <x:c r="B1" s="47" t="s">
        <x:v>0</x:v>
      </x:c>
      <x:c r="C1" s="48"/>
      <x:c r="D1" s="48"/>
    </x:row>
    <x:row r="2" ht="3.6500000953674316" customHeight="1"/>
    <x:row r="3" ht="16.5" customHeight="1">
      <x:c r="B3" s="49" t="s">
        <x:v>1</x:v>
      </x:c>
      <x:c r="C3" s="50"/>
    </x:row>
    <x:row r="4" ht="5.150000095367432" customHeight="1"/>
    <x:row r="5" ht="29.5" customHeight="1">
      <x:c r="B5" s="27" t="s">
        <x:v>2</x:v>
      </x:c>
      <x:c r="C5" s="27" t="s">
        <x:v>3</x:v>
      </x:c>
      <x:c r="D5" s="28" t="s">
        <x:v>4</x:v>
      </x:c>
    </x:row>
    <x:row r="6" s="31" customFormat="1" ht="33.5">
      <x:c r="B6" s="29" t="s">
        <x:v>5</x:v>
      </x:c>
      <x:c r="C6" s="30" t="s">
        <x:v>6</x:v>
      </x:c>
      <x:c r="D6" s="44" t="s">
        <x:v>7</x:v>
      </x:c>
    </x:row>
    <x:row r="7" s="31" customFormat="1" ht="33.5">
      <x:c r="B7" s="29" t="s">
        <x:v>8</x:v>
      </x:c>
      <x:c r="C7" s="30" t="s">
        <x:v>9</x:v>
      </x:c>
      <x:c r="D7" s="45"/>
    </x:row>
    <x:row r="8" s="31" customFormat="1" ht="17">
      <x:c r="B8" s="29" t="s">
        <x:v>10</x:v>
      </x:c>
      <x:c r="C8" s="30" t="s">
        <x:v>11</x:v>
      </x:c>
      <x:c r="D8" s="45"/>
    </x:row>
    <x:row r="9" s="31" customFormat="1" ht="33.5">
      <x:c r="B9" s="29" t="s">
        <x:v>12</x:v>
      </x:c>
      <x:c r="C9" s="30" t="s">
        <x:v>13</x:v>
      </x:c>
      <x:c r="D9" s="45"/>
    </x:row>
    <x:row r="10" s="31" customFormat="1" ht="33.5">
      <x:c r="B10" s="29" t="s">
        <x:v>14</x:v>
      </x:c>
      <x:c r="C10" s="30" t="s">
        <x:v>15</x:v>
      </x:c>
      <x:c r="D10" s="45"/>
    </x:row>
    <x:row r="11" s="31" customFormat="1" ht="33.5">
      <x:c r="B11" s="29" t="s">
        <x:v>16</x:v>
      </x:c>
      <x:c r="C11" s="30" t="s">
        <x:v>17</x:v>
      </x:c>
      <x:c r="D11" s="45"/>
    </x:row>
    <x:row r="12" s="31" customFormat="1" ht="33.5">
      <x:c r="B12" s="29" t="s">
        <x:v>18</x:v>
      </x:c>
      <x:c r="C12" s="30" t="s">
        <x:v>19</x:v>
      </x:c>
      <x:c r="D12" s="45"/>
    </x:row>
    <x:row r="13" s="31" customFormat="1" ht="87" customHeight="1">
      <x:c r="B13" s="29" t="s">
        <x:v>20</x:v>
      </x:c>
      <x:c r="C13" s="30" t="s">
        <x:v>21</x:v>
      </x:c>
      <x:c r="D13" s="45"/>
    </x:row>
    <x:row r="14" s="31" customFormat="1" ht="66.5">
      <x:c r="B14" s="29" t="s">
        <x:v>22</x:v>
      </x:c>
      <x:c r="C14" s="30" t="s">
        <x:v>23</x:v>
      </x:c>
      <x:c r="D14" s="45"/>
    </x:row>
    <x:row r="15" s="31" customFormat="1" ht="33.5">
      <x:c r="B15" s="29" t="s">
        <x:v>24</x:v>
      </x:c>
      <x:c r="C15" s="30" t="s">
        <x:v>25</x:v>
      </x:c>
      <x:c r="D15" s="46"/>
    </x:row>
    <x:row r="16" ht="4.5" customHeight="1"/>
    <x:row r="17" ht="17.5">
      <x:c r="B17" s="51" t="s">
        <x:v>26</x:v>
      </x:c>
      <x:c r="C17" s="52"/>
    </x:row>
    <x:row r="18" ht="3" customHeight="1"/>
    <x:row r="19" ht="36.650001525878906" customHeight="1">
      <x:c r="B19" s="53" t="s">
        <x:v>27</x:v>
      </x:c>
      <x:c r="C19" s="54"/>
    </x:row>
    <x:row r="20"/>
  </x:sheetData>
  <x:mergeCells>
    <x:mergeCell ref="D6:D15"/>
    <x:mergeCell ref="B1:D1"/>
    <x:mergeCell ref="B3:C3"/>
    <x:mergeCell ref="B17:C17"/>
    <x:mergeCell ref="B19:C19"/>
  </x:mergeCells>
  <x:pageMargins left="0.7" right="0.7" top="0.75" bottom="0.75" header="0.3" footer="0.3"/>
  <x:drawing xmlns:r="http://schemas.openxmlformats.org/officeDocument/2006/relationships" r:id="R7c33d520e7094c9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8.7265625" style="9" hidden="1" customWidth="1"/>
    <x:col min="2" max="2" width="37.81640625" style="26" customWidth="1"/>
    <x:col min="3" max="3" width="74.54296875" style="9" customWidth="1"/>
    <x:col min="4" max="4" width="40.453125" style="9" customWidth="1"/>
    <x:col min="5" max="5" width="54.54296875" style="9" customWidth="1"/>
    <x:col min="6" max="6" width="26.26953125" style="9" customWidth="1"/>
    <x:col min="7" max="7" width="27.453125" style="9" customWidth="1"/>
    <x:col min="8" max="8" width="66.81640625" style="9" customWidth="1"/>
    <x:col min="9" max="9" width="48.81640625" style="9" customWidth="1"/>
    <x:col min="10" max="10" width="47.453125" style="9" customWidth="1"/>
    <x:col min="11" max="11" width="61.81640625" style="9" customWidth="1"/>
    <x:col min="12" max="12" width="20.453125" style="9" customWidth="1"/>
    <x:col min="13" max="13" width="37.1796875" style="9" customWidth="1"/>
    <x:col min="14" max="14" width="35.7265625" style="9" customWidth="1"/>
    <x:col min="15" max="15" width="33.54296875" style="9" customWidth="1"/>
    <x:col min="16" max="16" width="32.54296875" style="9" customWidth="1"/>
    <x:col min="17" max="17" width="22.453125" style="9" customWidth="1"/>
    <x:col min="18" max="18" width="19.7265625" style="9" customWidth="1"/>
    <x:col min="19" max="19" width="27.7265625" style="9" customWidth="1"/>
    <x:col min="20" max="20" width="20.1796875" style="9" customWidth="1"/>
    <x:col min="21" max="21" width="30.1796875" style="9" customWidth="1"/>
    <x:col min="22" max="22" width="1.1796875" style="9" customWidth="1"/>
    <x:col min="23" max="16384" width="8.7265625" style="9" hidden="1" customWidth="0"/>
  </x:cols>
  <x:sheetData>
    <x:row r="1" ht="34.5" customHeight="1">
      <x:c r="B1" s="35" t="s">
        <x:v>28</x:v>
      </x:c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</x:row>
    <x:row r="2" ht="31">
      <x:c r="B2" s="10" t="s">
        <x:v>29</x:v>
      </x:c>
      <x:c r="C2" s="36" t="s">
        <x:v>30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</x:row>
    <x:row r="3" ht="37" customHeight="1">
      <x:c r="B3" s="38" t="s">
        <x:v>31</x:v>
      </x:c>
      <x:c r="C3" s="34" t="s">
        <x:v>2</x:v>
      </x:c>
      <x:c r="D3" s="34" t="s">
        <x:v>32</x:v>
      </x:c>
      <x:c r="E3" s="34" t="s">
        <x:v>33</x:v>
      </x:c>
      <x:c r="F3" s="34" t="s">
        <x:v>34</x:v>
      </x:c>
      <x:c r="G3" s="40" t="s">
        <x:v>35</x:v>
      </x:c>
      <x:c r="H3" s="41" t="s">
        <x:v>36</x:v>
      </x:c>
      <x:c r="I3" s="42"/>
      <x:c r="J3" s="42"/>
      <x:c r="K3" s="42"/>
      <x:c r="L3" s="42"/>
      <x:c r="M3" s="42"/>
      <x:c r="N3" s="43" t="s">
        <x:v>37</x:v>
      </x:c>
      <x:c r="O3" s="43" t="s">
        <x:v>38</x:v>
      </x:c>
      <x:c r="P3" s="34" t="s">
        <x:v>39</x:v>
      </x:c>
      <x:c r="Q3" s="34" t="s">
        <x:v>40</x:v>
      </x:c>
      <x:c r="R3" s="34" t="s">
        <x:v>41</x:v>
      </x:c>
      <x:c r="S3" s="34" t="s">
        <x:v>42</x:v>
      </x:c>
      <x:c r="T3" s="34" t="s">
        <x:v>43</x:v>
      </x:c>
      <x:c r="U3" s="34" t="s">
        <x:v>44</x:v>
      </x:c>
    </x:row>
    <x:row r="4" ht="35.150001525878906" customHeight="1">
      <x:c r="B4" s="39"/>
      <x:c r="C4" s="34"/>
      <x:c r="D4" s="34"/>
      <x:c r="E4" s="34"/>
      <x:c r="F4" s="34"/>
      <x:c r="G4" s="40"/>
      <x:c r="H4" s="13" t="s">
        <x:v>45</x:v>
      </x:c>
      <x:c r="I4" s="12" t="s">
        <x:v>46</x:v>
      </x:c>
      <x:c r="J4" s="12" t="s">
        <x:v>47</x:v>
      </x:c>
      <x:c r="K4" s="12" t="s">
        <x:v>48</x:v>
      </x:c>
      <x:c r="L4" s="12" t="s">
        <x:v>49</x:v>
      </x:c>
      <x:c r="M4" s="12" t="s">
        <x:v>50</x:v>
      </x:c>
      <x:c r="N4" s="43"/>
      <x:c r="O4" s="43"/>
      <x:c r="P4" s="34"/>
      <x:c r="Q4" s="34"/>
      <x:c r="R4" s="34"/>
      <x:c r="S4" s="34"/>
      <x:c r="T4" s="34"/>
      <x:c r="U4" s="34"/>
    </x:row>
    <x:row r="5" s="14" customFormat="1" ht="71.5" customHeight="1">
      <x:c r="B5" s="15"/>
      <x:c r="C5" s="16" t="s">
        <x:v>51</x:v>
      </x:c>
      <x:c r="D5" s="16" t="s">
        <x:v>52</x:v>
      </x:c>
      <x:c r="E5" s="16" t="s">
        <x:v>53</x:v>
      </x:c>
      <x:c r="F5" s="16" t="s">
        <x:v>54</x:v>
      </x:c>
      <x:c r="G5" s="16" t="s">
        <x:v>55</x:v>
      </x:c>
      <x:c r="H5" s="16" t="s">
        <x:v>56</x:v>
      </x:c>
      <x:c r="I5" s="16" t="s">
        <x:v>57</x:v>
      </x:c>
      <x:c r="J5" s="16" t="s">
        <x:v>58</x:v>
      </x:c>
      <x:c r="K5" s="16" t="s">
        <x:v>59</x:v>
      </x:c>
      <x:c r="L5" s="16" t="s">
        <x:v>60</x:v>
      </x:c>
      <x:c r="M5" s="16" t="s">
        <x:v>61</x:v>
      </x:c>
      <x:c r="N5" s="17" t="s">
        <x:v>62</x:v>
      </x:c>
      <x:c r="O5" s="16" t="s">
        <x:v>63</x:v>
      </x:c>
      <x:c r="P5" s="16" t="s">
        <x:v>64</x:v>
      </x:c>
      <x:c r="Q5" s="16" t="s">
        <x:v>65</x:v>
      </x:c>
      <x:c r="R5" s="16" t="s">
        <x:v>66</x:v>
      </x:c>
      <x:c r="S5" s="16" t="s">
        <x:v>67</x:v>
      </x:c>
      <x:c r="T5" s="16" t="s">
        <x:v>68</x:v>
      </x:c>
      <x:c r="U5" s="16" t="s">
        <x:v>68</x:v>
      </x:c>
    </x:row>
    <x:row r="6" ht="60" customHeight="1">
      <x:c r="B6" s="10" t="s">
        <x:v>69</x:v>
      </x:c>
      <x:c r="C6" s="18" t="s">
        <x:v>70</x:v>
      </x:c>
      <x:c r="D6" s="18" t="s">
        <x:v>71</x:v>
      </x:c>
      <x:c r="E6" s="18" t="s">
        <x:v>71</x:v>
      </x:c>
      <x:c r="F6" s="18" t="s">
        <x:v>71</x:v>
      </x:c>
      <x:c r="G6" s="18" t="s">
        <x:v>71</x:v>
      </x:c>
      <x:c r="H6" s="18" t="s">
        <x:v>71</x:v>
      </x:c>
      <x:c r="I6" s="18" t="s">
        <x:v>72</x:v>
      </x:c>
      <x:c r="J6" s="18" t="s">
        <x:v>72</x:v>
      </x:c>
      <x:c r="K6" s="18" t="s">
        <x:v>70</x:v>
      </x:c>
      <x:c r="L6" s="18" t="s">
        <x:v>70</x:v>
      </x:c>
      <x:c r="M6" s="18" t="s">
        <x:v>70</x:v>
      </x:c>
      <x:c r="N6" s="18" t="s">
        <x:v>73</x:v>
      </x:c>
      <x:c r="O6" s="18" t="s">
        <x:v>74</x:v>
      </x:c>
      <x:c r="P6" s="19" t="s">
        <x:v>75</x:v>
      </x:c>
      <x:c r="Q6" s="18" t="s">
        <x:v>70</x:v>
      </x:c>
      <x:c r="R6" s="18" t="s">
        <x:v>70</x:v>
      </x:c>
      <x:c r="S6" s="18" t="s">
        <x:v>71</x:v>
      </x:c>
      <x:c r="T6" s="18" t="s">
        <x:v>76</x:v>
      </x:c>
      <x:c r="U6" s="18" t="s">
        <x:v>77</x:v>
      </x:c>
    </x:row>
    <x:row r="7" ht="45.650001525878906" customHeight="1">
      <x:c r="B7" s="11" t="s">
        <x:v>78</x:v>
      </x:c>
      <x:c r="C7" s="20" t="s">
        <x:v>10</x:v>
      </x:c>
      <x:c r="D7" s="21" t="s">
        <x:v>79</x:v>
      </x:c>
      <x:c r="E7" s="20" t="s">
        <x:v>80</x:v>
      </x:c>
      <x:c r="F7" s="21">
        <x:v>999999999</x:v>
      </x:c>
      <x:c r="G7" s="21">
        <x:v>99999999999</x:v>
      </x:c>
      <x:c r="H7" s="21" t="s">
        <x:v>81</x:v>
      </x:c>
      <x:c r="I7" s="20" t="s">
        <x:v>82</x:v>
      </x:c>
      <x:c r="J7" s="20" t="s">
        <x:v>83</x:v>
      </x:c>
      <x:c r="K7" s="20" t="s">
        <x:v>84</x:v>
      </x:c>
      <x:c r="L7" s="20" t="s">
        <x:v>85</x:v>
      </x:c>
      <x:c r="M7" s="21">
        <x:v>99999999999999</x:v>
      </x:c>
      <x:c r="N7" s="21" t="s">
        <x:v>79</x:v>
      </x:c>
      <x:c r="O7" s="20" t="s">
        <x:v>80</x:v>
      </x:c>
      <x:c r="P7" s="20" t="s">
        <x:v>86</x:v>
      </x:c>
      <x:c r="Q7" s="20" t="s">
        <x:v>87</x:v>
      </x:c>
      <x:c r="R7" s="20" t="s">
        <x:v>88</x:v>
      </x:c>
      <x:c r="S7" s="20" t="s">
        <x:v>89</x:v>
      </x:c>
      <x:c r="T7" s="20" t="s">
        <x:v>90</x:v>
      </x:c>
      <x:c r="U7" s="20" t="s">
        <x:v>91</x:v>
      </x:c>
    </x:row>
    <x:row r="8" ht="46.5" customHeight="1">
      <x:c r="A8" s="22" t="str">
        <x:f>IFERROR(VLOOKUP(C8,Dados!$A$4:$D$15,3,0),0)</x:f>
      </x:c>
      <x:c r="B8" s="23" t="str">
        <x:f>IFERROR(VLOOKUP(C8,Dados!$A$4:$B$13,2,0),"")</x:f>
      </x:c>
      <x:c r="C8" s="32"/>
      <x:c r="D8" s="5"/>
      <x:c r="E8" s="5"/>
      <x:c r="F8" s="5"/>
      <x:c r="G8" s="5"/>
      <x:c r="H8" s="5"/>
      <x:c r="I8" s="5"/>
      <x:c r="J8" s="24" t="str">
        <x:f>IFERROR(VLOOKUP(H8,Dados!$D$2:$F$63,2,0),"ERRO: VERIFICAR COMO DIRETORIA/CANAL")</x:f>
      </x:c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46.5" customHeight="1">
      <x:c r="A9" s="22" t="str">
        <x:f>IFERROR(VLOOKUP(C9,Dados!$A$4:$D$15,3,0),0)</x:f>
      </x:c>
      <x:c r="B9" s="25" t="str">
        <x:f>IFERROR(VLOOKUP(C9,Dados!$A$4:$B$13,2,0),"")</x:f>
      </x:c>
      <x:c r="C9" s="32"/>
      <x:c r="D9" s="5"/>
      <x:c r="E9" s="5"/>
      <x:c r="F9" s="5"/>
      <x:c r="G9" s="5"/>
      <x:c r="H9" s="5"/>
      <x:c r="I9" s="5"/>
      <x:c r="J9" s="24" t="str">
        <x:f>IFERROR(VLOOKUP(H9,Dados!$D$2:$F$63,2,0),"ERRO: VERIFICAR COMO DIRETORIA/CANAL")</x:f>
      </x:c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46.5" customHeight="1">
      <x:c r="A10" s="22" t="str">
        <x:f>IFERROR(VLOOKUP(C10,Dados!$A$4:$D$15,3,0),0)</x:f>
      </x:c>
      <x:c r="B10" s="25" t="str">
        <x:f>IFERROR(VLOOKUP(C10,Dados!$A$4:$B$13,2,0),"")</x:f>
      </x:c>
      <x:c r="C10" s="32"/>
      <x:c r="D10" s="5"/>
      <x:c r="E10" s="5"/>
      <x:c r="F10" s="5"/>
      <x:c r="G10" s="5"/>
      <x:c r="H10" s="5"/>
      <x:c r="I10" s="5"/>
      <x:c r="J10" s="24" t="str">
        <x:f>IFERROR(VLOOKUP(H10,Dados!$D$2:$F$63,2,0),"ERRO: VERIFICAR COMO DIRETORIA/CANAL")</x:f>
      </x:c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46.5" customHeight="1">
      <x:c r="A11" s="22" t="str">
        <x:f>IFERROR(VLOOKUP(C11,Dados!$A$4:$D$15,3,0),0)</x:f>
      </x:c>
      <x:c r="B11" s="25" t="str">
        <x:f>IFERROR(VLOOKUP(C11,Dados!$A$4:$B$13,2,0),"")</x:f>
      </x:c>
      <x:c r="C11" s="32"/>
      <x:c r="D11" s="5"/>
      <x:c r="E11" s="5"/>
      <x:c r="F11" s="5"/>
      <x:c r="G11" s="5"/>
      <x:c r="H11" s="5"/>
      <x:c r="I11" s="5"/>
      <x:c r="J11" s="24" t="str">
        <x:f>IFERROR(VLOOKUP(H11,Dados!$D$2:$F$63,2,0),"ERRO: VERIFICAR COMO DIRETORIA/CANAL")</x:f>
      </x:c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46.5" customHeight="1">
      <x:c r="A12" s="22" t="str">
        <x:f>IFERROR(VLOOKUP(C12,Dados!$A$4:$D$15,3,0),0)</x:f>
      </x:c>
      <x:c r="B12" s="25" t="str">
        <x:f>IFERROR(VLOOKUP(C12,Dados!$A$4:$B$13,2,0),"")</x:f>
      </x:c>
      <x:c r="C12" s="32"/>
      <x:c r="D12" s="5"/>
      <x:c r="E12" s="5"/>
      <x:c r="F12" s="5"/>
      <x:c r="G12" s="5"/>
      <x:c r="H12" s="5"/>
      <x:c r="I12" s="5"/>
      <x:c r="J12" s="24" t="str">
        <x:f>IFERROR(VLOOKUP(H12,Dados!$D$2:$F$63,2,0),"ERRO: VERIFICAR COMO DIRETORIA/CANAL")</x:f>
      </x:c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46.5" customHeight="1">
      <x:c r="A13" s="22" t="str">
        <x:f>IFERROR(VLOOKUP(C13,Dados!$A$4:$D$15,3,0),0)</x:f>
      </x:c>
      <x:c r="B13" s="25" t="str">
        <x:f>IFERROR(VLOOKUP(C13,Dados!$A$4:$B$13,2,0),"")</x:f>
      </x:c>
      <x:c r="C13" s="32"/>
      <x:c r="D13" s="5"/>
      <x:c r="E13" s="5"/>
      <x:c r="F13" s="5"/>
      <x:c r="G13" s="5"/>
      <x:c r="H13" s="5"/>
      <x:c r="I13" s="5"/>
      <x:c r="J13" s="24" t="str">
        <x:f>IFERROR(VLOOKUP(H13,Dados!$D$2:$F$63,2,0),"ERRO: VERIFICAR COMO DIRETORIA/CANAL")</x:f>
      </x:c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46.5" customHeight="1">
      <x:c r="A14" s="22" t="str">
        <x:f>IFERROR(VLOOKUP(C14,Dados!$A$4:$D$15,3,0),0)</x:f>
      </x:c>
      <x:c r="B14" s="25" t="str">
        <x:f>IFERROR(VLOOKUP(C14,Dados!$A$4:$B$13,2,0),"")</x:f>
      </x:c>
      <x:c r="C14" s="32"/>
      <x:c r="D14" s="5"/>
      <x:c r="E14" s="5"/>
      <x:c r="F14" s="5"/>
      <x:c r="G14" s="5"/>
      <x:c r="H14" s="5"/>
      <x:c r="I14" s="5"/>
      <x:c r="J14" s="24" t="str">
        <x:f>IFERROR(VLOOKUP(H14,Dados!$D$2:$F$63,2,0),"ERRO: VERIFICAR COMO DIRETORIA/CANAL")</x:f>
      </x:c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46.5" customHeight="1">
      <x:c r="A15" s="22" t="str">
        <x:f>IFERROR(VLOOKUP(C15,Dados!$A$4:$D$15,3,0),0)</x:f>
      </x:c>
      <x:c r="B15" s="25" t="str">
        <x:f>IFERROR(VLOOKUP(C15,Dados!$A$4:$B$13,2,0),"")</x:f>
      </x:c>
      <x:c r="C15" s="32"/>
      <x:c r="D15" s="5"/>
      <x:c r="E15" s="5"/>
      <x:c r="F15" s="5"/>
      <x:c r="G15" s="5"/>
      <x:c r="H15" s="5"/>
      <x:c r="I15" s="5"/>
      <x:c r="J15" s="24" t="str">
        <x:f>IFERROR(VLOOKUP(H15,Dados!$D$2:$F$63,2,0),"ERRO: VERIFICAR COMO DIRETORIA/CANAL")</x:f>
      </x:c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46.5" customHeight="1">
      <x:c r="A16" s="22" t="str">
        <x:f>IFERROR(VLOOKUP(C16,Dados!$A$4:$D$15,3,0),0)</x:f>
      </x:c>
      <x:c r="B16" s="25" t="str">
        <x:f>IFERROR(VLOOKUP(C16,Dados!$A$4:$B$13,2,0),"")</x:f>
      </x:c>
      <x:c r="C16" s="32"/>
      <x:c r="D16" s="5"/>
      <x:c r="E16" s="5"/>
      <x:c r="F16" s="5"/>
      <x:c r="G16" s="5"/>
      <x:c r="H16" s="5"/>
      <x:c r="I16" s="5"/>
      <x:c r="J16" s="24" t="str">
        <x:f>IFERROR(VLOOKUP(H16,Dados!$D$2:$F$63,2,0),"ERRO: VERIFICAR COMO DIRETORIA/CANAL")</x:f>
      </x:c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46.5" customHeight="1">
      <x:c r="A17" s="22" t="str">
        <x:f>IFERROR(VLOOKUP(C17,Dados!$A$4:$D$15,3,0),0)</x:f>
      </x:c>
      <x:c r="B17" s="25" t="str">
        <x:f>IFERROR(VLOOKUP(C17,Dados!$A$4:$B$13,2,0),"")</x:f>
      </x:c>
      <x:c r="C17" s="32"/>
      <x:c r="D17" s="5"/>
      <x:c r="E17" s="5"/>
      <x:c r="F17" s="5"/>
      <x:c r="G17" s="5"/>
      <x:c r="H17" s="5"/>
      <x:c r="I17" s="5"/>
      <x:c r="J17" s="24" t="str">
        <x:f>IFERROR(VLOOKUP(H17,Dados!$D$2:$F$63,2,0),"ERRO: VERIFICAR COMO DIRETORIA/CANAL")</x:f>
      </x:c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46.5" customHeight="1">
      <x:c r="A18" s="22" t="str">
        <x:f>IFERROR(VLOOKUP(C18,Dados!$A$4:$D$15,3,0),0)</x:f>
      </x:c>
      <x:c r="B18" s="25" t="str">
        <x:f>IFERROR(VLOOKUP(C18,Dados!$A$4:$B$13,2,0),"")</x:f>
      </x:c>
      <x:c r="C18" s="32"/>
      <x:c r="D18" s="5"/>
      <x:c r="E18" s="5"/>
      <x:c r="F18" s="5"/>
      <x:c r="G18" s="5"/>
      <x:c r="H18" s="5"/>
      <x:c r="I18" s="5"/>
      <x:c r="J18" s="24" t="str">
        <x:f>IFERROR(VLOOKUP(H18,Dados!$D$2:$F$63,2,0),"ERRO: VERIFICAR COMO DIRETORIA/CANAL")</x:f>
      </x:c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46.5" customHeight="1">
      <x:c r="A19" s="22" t="str">
        <x:f>IFERROR(VLOOKUP(C19,Dados!$A$4:$D$15,3,0),0)</x:f>
      </x:c>
      <x:c r="B19" s="25" t="str">
        <x:f>IFERROR(VLOOKUP(C19,Dados!$A$4:$B$13,2,0),"")</x:f>
      </x:c>
      <x:c r="C19" s="32"/>
      <x:c r="D19" s="5"/>
      <x:c r="E19" s="5"/>
      <x:c r="F19" s="5"/>
      <x:c r="G19" s="5"/>
      <x:c r="H19" s="5"/>
      <x:c r="I19" s="5"/>
      <x:c r="J19" s="24" t="str">
        <x:f>IFERROR(VLOOKUP(H19,Dados!$D$2:$F$63,2,0),"ERRO: VERIFICAR COMO DIRETORIA/CANAL")</x:f>
      </x:c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46.5" customHeight="1">
      <x:c r="A20" s="22" t="str">
        <x:f>IFERROR(VLOOKUP(C20,Dados!$A$4:$D$15,3,0),0)</x:f>
      </x:c>
      <x:c r="B20" s="25" t="str">
        <x:f>IFERROR(VLOOKUP(C20,Dados!$A$4:$B$13,2,0),"")</x:f>
      </x:c>
      <x:c r="C20" s="32"/>
      <x:c r="D20" s="5"/>
      <x:c r="E20" s="5"/>
      <x:c r="F20" s="5"/>
      <x:c r="G20" s="5"/>
      <x:c r="H20" s="5"/>
      <x:c r="I20" s="5"/>
      <x:c r="J20" s="24" t="str">
        <x:f>IFERROR(VLOOKUP(H20,Dados!$D$2:$F$63,2,0),"ERRO: VERIFICAR COMO DIRETORIA/CANAL")</x:f>
      </x:c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46.5" customHeight="1">
      <x:c r="A21" s="22" t="str">
        <x:f>IFERROR(VLOOKUP(C21,Dados!$A$4:$D$15,3,0),0)</x:f>
      </x:c>
      <x:c r="B21" s="25" t="str">
        <x:f>IFERROR(VLOOKUP(C21,Dados!$A$4:$B$13,2,0),"")</x:f>
      </x:c>
      <x:c r="C21" s="32"/>
      <x:c r="D21" s="5"/>
      <x:c r="E21" s="5"/>
      <x:c r="F21" s="5"/>
      <x:c r="G21" s="5"/>
      <x:c r="H21" s="5"/>
      <x:c r="I21" s="5"/>
      <x:c r="J21" s="24" t="str">
        <x:f>IFERROR(VLOOKUP(H21,Dados!$D$2:$F$63,2,0),"ERRO: VERIFICAR COMO DIRETORIA/CANAL")</x:f>
      </x:c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46.5" customHeight="1">
      <x:c r="A22" s="22" t="str">
        <x:f>IFERROR(VLOOKUP(C22,Dados!$A$4:$D$15,3,0),0)</x:f>
      </x:c>
      <x:c r="B22" s="25" t="str">
        <x:f>IFERROR(VLOOKUP(C22,Dados!$A$4:$B$13,2,0),"")</x:f>
      </x:c>
      <x:c r="C22" s="32"/>
      <x:c r="D22" s="5"/>
      <x:c r="E22" s="5"/>
      <x:c r="F22" s="5"/>
      <x:c r="G22" s="5"/>
      <x:c r="H22" s="5"/>
      <x:c r="I22" s="5"/>
      <x:c r="J22" s="24" t="str">
        <x:f>IFERROR(VLOOKUP(H22,Dados!$D$2:$F$63,2,0),"ERRO: VERIFICAR COMO DIRETORIA/CANAL")</x:f>
      </x:c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>
      <x:c r="A23" s="22" t="str">
        <x:f>IFERROR(VLOOKUP(C23,Dados!$A$4:$D$15,3,0),0)</x:f>
      </x:c>
      <x:c r="B23" s="25" t="str">
        <x:f>IFERROR(VLOOKUP(C23,Dados!$A$4:$B$13,2,0),"")</x:f>
      </x:c>
      <x:c r="C23" s="32"/>
      <x:c r="D23" s="5"/>
      <x:c r="E23" s="5"/>
      <x:c r="F23" s="5"/>
      <x:c r="G23" s="5"/>
      <x:c r="H23" s="5"/>
      <x:c r="I23" s="5"/>
      <x:c r="J23" s="24" t="str">
        <x:f>IFERROR(VLOOKUP(H23,Dados!$D$2:$F$63,2,0),"ERRO: VERIFICAR COMO DIRETORIA/CANAL")</x:f>
      </x:c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46.5" customHeight="1">
      <x:c r="A24" s="22" t="str">
        <x:f>IFERROR(VLOOKUP(C24,Dados!$A$4:$D$15,3,0),0)</x:f>
      </x:c>
      <x:c r="B24" s="25" t="str">
        <x:f>IFERROR(VLOOKUP(C24,Dados!$A$4:$B$13,2,0),"")</x:f>
      </x:c>
      <x:c r="C24" s="32"/>
      <x:c r="D24" s="5"/>
      <x:c r="E24" s="5"/>
      <x:c r="F24" s="5"/>
      <x:c r="G24" s="5"/>
      <x:c r="H24" s="5"/>
      <x:c r="I24" s="5"/>
      <x:c r="J24" s="24" t="str">
        <x:f>IFERROR(VLOOKUP(H24,Dados!$D$2:$F$63,2,0),"ERRO: VERIFICAR COMO DIRETORIA/CANAL")</x:f>
      </x:c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46.5" customHeight="1">
      <x:c r="A25" s="22" t="str">
        <x:f>IFERROR(VLOOKUP(C25,Dados!$A$4:$D$15,3,0),0)</x:f>
      </x:c>
      <x:c r="B25" s="25" t="str">
        <x:f>IFERROR(VLOOKUP(C25,Dados!$A$4:$B$13,2,0),"")</x:f>
      </x:c>
      <x:c r="C25" s="32"/>
      <x:c r="D25" s="5"/>
      <x:c r="E25" s="5"/>
      <x:c r="F25" s="5"/>
      <x:c r="G25" s="5"/>
      <x:c r="H25" s="5"/>
      <x:c r="I25" s="5"/>
      <x:c r="J25" s="24" t="str">
        <x:f>IFERROR(VLOOKUP(H25,Dados!$D$2:$F$63,2,0),"ERRO: VERIFICAR COMO DIRETORIA/CANAL")</x:f>
      </x:c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46.5" customHeight="1">
      <x:c r="A26" s="22" t="str">
        <x:f>IFERROR(VLOOKUP(C26,Dados!$A$4:$D$15,3,0),0)</x:f>
      </x:c>
      <x:c r="B26" s="25" t="str">
        <x:f>IFERROR(VLOOKUP(C26,Dados!$A$4:$B$13,2,0),"")</x:f>
      </x:c>
      <x:c r="C26" s="32"/>
      <x:c r="D26" s="5"/>
      <x:c r="E26" s="5"/>
      <x:c r="F26" s="5"/>
      <x:c r="G26" s="5"/>
      <x:c r="H26" s="5"/>
      <x:c r="I26" s="5"/>
      <x:c r="J26" s="24" t="str">
        <x:f>IFERROR(VLOOKUP(H26,Dados!$D$2:$F$63,2,0),"ERRO: VERIFICAR COMO DIRETORIA/CANAL")</x:f>
      </x:c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46.5" customHeight="1">
      <x:c r="A27" s="22" t="str">
        <x:f>IFERROR(VLOOKUP(C27,Dados!$A$4:$D$15,3,0),0)</x:f>
      </x:c>
      <x:c r="B27" s="25" t="str">
        <x:f>IFERROR(VLOOKUP(C27,Dados!$A$4:$B$13,2,0),"")</x:f>
      </x:c>
      <x:c r="C27" s="32"/>
      <x:c r="D27" s="5"/>
      <x:c r="E27" s="5"/>
      <x:c r="F27" s="5"/>
      <x:c r="G27" s="5"/>
      <x:c r="H27" s="5"/>
      <x:c r="I27" s="5"/>
      <x:c r="J27" s="24" t="str">
        <x:f>IFERROR(VLOOKUP(H27,Dados!$D$2:$F$63,2,0),"ERRO: VERIFICAR COMO DIRETORIA/CANAL")</x:f>
      </x:c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46.5" customHeight="1">
      <x:c r="A28" s="22" t="str">
        <x:f>IFERROR(VLOOKUP(C28,Dados!$A$4:$D$15,3,0),0)</x:f>
      </x:c>
      <x:c r="B28" s="25" t="str">
        <x:f>IFERROR(VLOOKUP(C28,Dados!$A$4:$B$13,2,0),"")</x:f>
      </x:c>
      <x:c r="C28" s="32"/>
      <x:c r="D28" s="5"/>
      <x:c r="E28" s="5"/>
      <x:c r="F28" s="5"/>
      <x:c r="G28" s="5"/>
      <x:c r="H28" s="5"/>
      <x:c r="I28" s="5"/>
      <x:c r="J28" s="24" t="str">
        <x:f>IFERROR(VLOOKUP(H28,Dados!$D$2:$F$63,2,0),"ERRO: VERIFICAR COMO DIRETORIA/CANAL")</x:f>
      </x:c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46.5" customHeight="1">
      <x:c r="A29" s="22" t="str">
        <x:f>IFERROR(VLOOKUP(C29,Dados!$A$4:$D$15,3,0),0)</x:f>
      </x:c>
      <x:c r="B29" s="25" t="str">
        <x:f>IFERROR(VLOOKUP(C29,Dados!$A$4:$B$13,2,0),"")</x:f>
      </x:c>
      <x:c r="C29" s="32"/>
      <x:c r="D29" s="5"/>
      <x:c r="E29" s="5"/>
      <x:c r="F29" s="5"/>
      <x:c r="G29" s="5"/>
      <x:c r="H29" s="5"/>
      <x:c r="I29" s="5"/>
      <x:c r="J29" s="24" t="str">
        <x:f>IFERROR(VLOOKUP(H29,Dados!$D$2:$F$63,2,0),"ERRO: VERIFICAR COMO DIRETORIA/CANAL")</x:f>
      </x:c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46.5" customHeight="1">
      <x:c r="A30" s="22" t="str">
        <x:f>IFERROR(VLOOKUP(C30,Dados!$A$4:$D$15,3,0),0)</x:f>
      </x:c>
      <x:c r="B30" s="25" t="str">
        <x:f>IFERROR(VLOOKUP(C30,Dados!$A$4:$B$13,2,0),"")</x:f>
      </x:c>
      <x:c r="C30" s="32"/>
      <x:c r="D30" s="5"/>
      <x:c r="E30" s="5"/>
      <x:c r="F30" s="5"/>
      <x:c r="G30" s="5"/>
      <x:c r="H30" s="5"/>
      <x:c r="I30" s="5"/>
      <x:c r="J30" s="24" t="str">
        <x:f>IFERROR(VLOOKUP(H30,Dados!$D$2:$F$63,2,0),"ERRO: VERIFICAR COMO DIRETORIA/CANAL")</x:f>
      </x:c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46.5" customHeight="1">
      <x:c r="A31" s="22" t="str">
        <x:f>IFERROR(VLOOKUP(C31,Dados!$A$4:$D$15,3,0),0)</x:f>
      </x:c>
      <x:c r="B31" s="25" t="str">
        <x:f>IFERROR(VLOOKUP(C31,Dados!$A$4:$B$13,2,0),"")</x:f>
      </x:c>
      <x:c r="C31" s="32"/>
      <x:c r="D31" s="5"/>
      <x:c r="E31" s="5"/>
      <x:c r="F31" s="5"/>
      <x:c r="G31" s="5"/>
      <x:c r="H31" s="5"/>
      <x:c r="I31" s="5"/>
      <x:c r="J31" s="24" t="str">
        <x:f>IFERROR(VLOOKUP(H31,Dados!$D$2:$F$63,2,0),"ERRO: VERIFICAR COMO DIRETORIA/CANAL")</x:f>
      </x:c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46.5" customHeight="1">
      <x:c r="A32" s="22" t="str">
        <x:f>IFERROR(VLOOKUP(C32,Dados!$A$4:$D$15,3,0),0)</x:f>
      </x:c>
      <x:c r="B32" s="25" t="str">
        <x:f>IFERROR(VLOOKUP(C32,Dados!$A$4:$B$13,2,0),"")</x:f>
      </x:c>
      <x:c r="C32" s="32"/>
      <x:c r="D32" s="5"/>
      <x:c r="E32" s="5"/>
      <x:c r="F32" s="5"/>
      <x:c r="G32" s="5"/>
      <x:c r="H32" s="5"/>
      <x:c r="I32" s="5"/>
      <x:c r="J32" s="24" t="str">
        <x:f>IFERROR(VLOOKUP(H32,Dados!$D$2:$F$63,2,0),"ERRO: VERIFICAR COMO DIRETORIA/CANAL")</x:f>
      </x:c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46.5" customHeight="1">
      <x:c r="A33" s="22" t="str">
        <x:f>IFERROR(VLOOKUP(C33,Dados!$A$4:$D$15,3,0),0)</x:f>
      </x:c>
      <x:c r="B33" s="25" t="str">
        <x:f>IFERROR(VLOOKUP(C33,Dados!$A$4:$B$13,2,0),"")</x:f>
      </x:c>
      <x:c r="C33" s="32"/>
      <x:c r="D33" s="5"/>
      <x:c r="E33" s="5"/>
      <x:c r="F33" s="5"/>
      <x:c r="G33" s="5"/>
      <x:c r="H33" s="5"/>
      <x:c r="I33" s="5"/>
      <x:c r="J33" s="24" t="str">
        <x:f>IFERROR(VLOOKUP(H33,Dados!$D$2:$F$63,2,0),"ERRO: VERIFICAR COMO DIRETORIA/CANAL")</x:f>
      </x:c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46.5" customHeight="1">
      <x:c r="A34" s="22" t="str">
        <x:f>IFERROR(VLOOKUP(C34,Dados!$A$4:$D$15,3,0),0)</x:f>
      </x:c>
      <x:c r="B34" s="25" t="str">
        <x:f>IFERROR(VLOOKUP(C34,Dados!$A$4:$B$13,2,0),"")</x:f>
      </x:c>
      <x:c r="C34" s="32"/>
      <x:c r="D34" s="5"/>
      <x:c r="E34" s="5"/>
      <x:c r="F34" s="5"/>
      <x:c r="G34" s="5"/>
      <x:c r="H34" s="5"/>
      <x:c r="I34" s="5"/>
      <x:c r="J34" s="24" t="str">
        <x:f>IFERROR(VLOOKUP(H34,Dados!$D$2:$F$63,2,0),"ERRO: VERIFICAR COMO DIRETORIA/CANAL")</x:f>
      </x:c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46.5" customHeight="1">
      <x:c r="A35" s="22" t="str">
        <x:f>IFERROR(VLOOKUP(C35,Dados!$A$4:$D$15,3,0),0)</x:f>
      </x:c>
      <x:c r="B35" s="25" t="str">
        <x:f>IFERROR(VLOOKUP(C35,Dados!$A$4:$B$13,2,0),"")</x:f>
      </x:c>
      <x:c r="C35" s="32"/>
      <x:c r="D35" s="5"/>
      <x:c r="E35" s="5"/>
      <x:c r="F35" s="5"/>
      <x:c r="G35" s="5"/>
      <x:c r="H35" s="5"/>
      <x:c r="I35" s="5"/>
      <x:c r="J35" s="24" t="str">
        <x:f>IFERROR(VLOOKUP(H35,Dados!$D$2:$F$63,2,0),"ERRO: VERIFICAR COMO DIRETORIA/CANAL")</x:f>
      </x:c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46.5" customHeight="1">
      <x:c r="A36" s="22" t="str">
        <x:f>IFERROR(VLOOKUP(C36,Dados!$A$4:$D$15,3,0),0)</x:f>
      </x:c>
      <x:c r="B36" s="25" t="str">
        <x:f>IFERROR(VLOOKUP(C36,Dados!$A$4:$B$13,2,0),"")</x:f>
      </x:c>
      <x:c r="C36" s="32"/>
      <x:c r="D36" s="5"/>
      <x:c r="E36" s="5"/>
      <x:c r="F36" s="5"/>
      <x:c r="G36" s="5"/>
      <x:c r="H36" s="5"/>
      <x:c r="I36" s="5"/>
      <x:c r="J36" s="24" t="str">
        <x:f>IFERROR(VLOOKUP(H36,Dados!$D$2:$F$63,2,0),"ERRO: VERIFICAR COMO DIRETORIA/CANAL")</x:f>
      </x:c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46.5" customHeight="1">
      <x:c r="A37" s="22" t="str">
        <x:f>IFERROR(VLOOKUP(C37,Dados!$A$4:$D$15,3,0),0)</x:f>
      </x:c>
      <x:c r="B37" s="25" t="str">
        <x:f>IFERROR(VLOOKUP(C37,Dados!$A$4:$B$13,2,0),"")</x:f>
      </x:c>
      <x:c r="C37" s="32"/>
      <x:c r="D37" s="5"/>
      <x:c r="E37" s="5"/>
      <x:c r="F37" s="5"/>
      <x:c r="G37" s="5"/>
      <x:c r="H37" s="5"/>
      <x:c r="I37" s="5"/>
      <x:c r="J37" s="24" t="str">
        <x:f>IFERROR(VLOOKUP(H37,Dados!$D$2:$F$63,2,0),"ERRO: VERIFICAR COMO DIRETORIA/CANAL")</x:f>
      </x:c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46.5" customHeight="1">
      <x:c r="A38" s="22" t="str">
        <x:f>IFERROR(VLOOKUP(C38,Dados!$A$4:$D$15,3,0),0)</x:f>
      </x:c>
      <x:c r="B38" s="25" t="str">
        <x:f>IFERROR(VLOOKUP(C38,Dados!$A$4:$B$13,2,0),"")</x:f>
      </x:c>
      <x:c r="C38" s="32"/>
      <x:c r="D38" s="5"/>
      <x:c r="E38" s="5"/>
      <x:c r="F38" s="5"/>
      <x:c r="G38" s="5"/>
      <x:c r="H38" s="5"/>
      <x:c r="I38" s="5"/>
      <x:c r="J38" s="24" t="str">
        <x:f>IFERROR(VLOOKUP(H38,Dados!$D$2:$F$63,2,0),"ERRO: VERIFICAR COMO DIRETORIA/CANAL")</x:f>
      </x:c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46.5" customHeight="1">
      <x:c r="A39" s="22" t="str">
        <x:f>IFERROR(VLOOKUP(C39,Dados!$A$4:$D$15,3,0),0)</x:f>
      </x:c>
      <x:c r="B39" s="25" t="str">
        <x:f>IFERROR(VLOOKUP(C39,Dados!$A$4:$B$13,2,0),"")</x:f>
      </x:c>
      <x:c r="C39" s="32"/>
      <x:c r="D39" s="5"/>
      <x:c r="E39" s="5"/>
      <x:c r="F39" s="5"/>
      <x:c r="G39" s="5"/>
      <x:c r="H39" s="5"/>
      <x:c r="I39" s="5"/>
      <x:c r="J39" s="24" t="str">
        <x:f>IFERROR(VLOOKUP(H39,Dados!$D$2:$F$63,2,0),"ERRO: VERIFICAR COMO DIRETORIA/CANAL")</x:f>
      </x:c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46.5" customHeight="1">
      <x:c r="A40" s="22" t="str">
        <x:f>IFERROR(VLOOKUP(C40,Dados!$A$4:$D$15,3,0),0)</x:f>
      </x:c>
      <x:c r="B40" s="25" t="str">
        <x:f>IFERROR(VLOOKUP(C40,Dados!$A$4:$B$13,2,0),"")</x:f>
      </x:c>
      <x:c r="C40" s="32"/>
      <x:c r="D40" s="5"/>
      <x:c r="E40" s="5"/>
      <x:c r="F40" s="5"/>
      <x:c r="G40" s="5"/>
      <x:c r="H40" s="5"/>
      <x:c r="I40" s="5"/>
      <x:c r="J40" s="24" t="str">
        <x:f>IFERROR(VLOOKUP(H40,Dados!$D$2:$F$63,2,0),"ERRO: VERIFICAR COMO DIRETORIA/CANAL")</x:f>
      </x:c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46.5" customHeight="1">
      <x:c r="A41" s="22" t="str">
        <x:f>IFERROR(VLOOKUP(C41,Dados!$A$4:$D$15,3,0),0)</x:f>
      </x:c>
      <x:c r="B41" s="25" t="str">
        <x:f>IFERROR(VLOOKUP(C41,Dados!$A$4:$B$13,2,0),"")</x:f>
      </x:c>
      <x:c r="C41" s="32"/>
      <x:c r="D41" s="5"/>
      <x:c r="E41" s="5"/>
      <x:c r="F41" s="5"/>
      <x:c r="G41" s="5"/>
      <x:c r="H41" s="5"/>
      <x:c r="I41" s="5"/>
      <x:c r="J41" s="24" t="str">
        <x:f>IFERROR(VLOOKUP(H41,Dados!$D$2:$F$63,2,0),"ERRO: VERIFICAR COMO DIRETORIA/CANAL")</x:f>
      </x:c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46.5" customHeight="1">
      <x:c r="A42" s="22" t="str">
        <x:f>IFERROR(VLOOKUP(C42,Dados!$A$4:$D$15,3,0),0)</x:f>
      </x:c>
      <x:c r="B42" s="25" t="str">
        <x:f>IFERROR(VLOOKUP(C42,Dados!$A$4:$B$13,2,0),"")</x:f>
      </x:c>
      <x:c r="C42" s="32"/>
      <x:c r="D42" s="5"/>
      <x:c r="E42" s="5"/>
      <x:c r="F42" s="5"/>
      <x:c r="G42" s="5"/>
      <x:c r="H42" s="5"/>
      <x:c r="I42" s="5"/>
      <x:c r="J42" s="24" t="str">
        <x:f>IFERROR(VLOOKUP(H42,Dados!$D$2:$F$63,2,0),"ERRO: VERIFICAR COMO DIRETORIA/CANAL")</x:f>
      </x:c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46.5" customHeight="1">
      <x:c r="A43" s="22" t="str">
        <x:f>IFERROR(VLOOKUP(C43,Dados!$A$4:$D$15,3,0),0)</x:f>
      </x:c>
      <x:c r="B43" s="25" t="str">
        <x:f>IFERROR(VLOOKUP(C43,Dados!$A$4:$B$13,2,0),"")</x:f>
      </x:c>
      <x:c r="C43" s="32"/>
      <x:c r="D43" s="5"/>
      <x:c r="E43" s="5"/>
      <x:c r="F43" s="5"/>
      <x:c r="G43" s="5"/>
      <x:c r="H43" s="5"/>
      <x:c r="I43" s="5"/>
      <x:c r="J43" s="24" t="str">
        <x:f>IFERROR(VLOOKUP(H43,Dados!$D$2:$F$63,2,0),"ERRO: VERIFICAR COMO DIRETORIA/CANAL")</x:f>
      </x:c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46.5" customHeight="1">
      <x:c r="A44" s="22" t="str">
        <x:f>IFERROR(VLOOKUP(C44,Dados!$A$4:$D$15,3,0),0)</x:f>
      </x:c>
      <x:c r="B44" s="25" t="str">
        <x:f>IFERROR(VLOOKUP(C44,Dados!$A$4:$B$13,2,0),"")</x:f>
      </x:c>
      <x:c r="C44" s="32"/>
      <x:c r="D44" s="5"/>
      <x:c r="E44" s="5"/>
      <x:c r="F44" s="5"/>
      <x:c r="G44" s="5"/>
      <x:c r="H44" s="5"/>
      <x:c r="I44" s="5"/>
      <x:c r="J44" s="24" t="str">
        <x:f>IFERROR(VLOOKUP(H44,Dados!$D$2:$F$63,2,0),"ERRO: VERIFICAR COMO DIRETORIA/CANAL")</x:f>
      </x:c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46.5" customHeight="1">
      <x:c r="A45" s="22" t="str">
        <x:f>IFERROR(VLOOKUP(C45,Dados!$A$4:$D$15,3,0),0)</x:f>
      </x:c>
      <x:c r="B45" s="25" t="str">
        <x:f>IFERROR(VLOOKUP(C45,Dados!$A$4:$B$13,2,0),"")</x:f>
      </x:c>
      <x:c r="C45" s="32"/>
      <x:c r="D45" s="5"/>
      <x:c r="E45" s="5"/>
      <x:c r="F45" s="5"/>
      <x:c r="G45" s="5"/>
      <x:c r="H45" s="5"/>
      <x:c r="I45" s="5"/>
      <x:c r="J45" s="24" t="str">
        <x:f>IFERROR(VLOOKUP(H45,Dados!$D$2:$F$63,2,0),"ERRO: VERIFICAR COMO DIRETORIA/CANAL")</x:f>
      </x:c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  <x:row r="46" ht="46.5" customHeight="1">
      <x:c r="A46" s="22" t="str">
        <x:f>IFERROR(VLOOKUP(C46,Dados!$A$4:$D$15,3,0),0)</x:f>
      </x:c>
      <x:c r="B46" s="25" t="str">
        <x:f>IFERROR(VLOOKUP(C46,Dados!$A$4:$B$13,2,0),"")</x:f>
      </x:c>
      <x:c r="C46" s="32"/>
      <x:c r="D46" s="5"/>
      <x:c r="E46" s="5"/>
      <x:c r="F46" s="5"/>
      <x:c r="G46" s="5"/>
      <x:c r="H46" s="5"/>
      <x:c r="I46" s="5"/>
      <x:c r="J46" s="24" t="str">
        <x:f>IFERROR(VLOOKUP(H46,Dados!$D$2:$F$63,2,0),"ERRO: VERIFICAR COMO DIRETORIA/CANAL")</x:f>
      </x:c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</x:row>
    <x:row r="47" ht="46.5" customHeight="1">
      <x:c r="A47" s="22" t="str">
        <x:f>IFERROR(VLOOKUP(C47,Dados!$A$4:$D$15,3,0),0)</x:f>
      </x:c>
      <x:c r="B47" s="25" t="str">
        <x:f>IFERROR(VLOOKUP(C47,Dados!$A$4:$B$13,2,0),"")</x:f>
      </x:c>
      <x:c r="C47" s="32"/>
      <x:c r="D47" s="5"/>
      <x:c r="E47" s="5"/>
      <x:c r="F47" s="5"/>
      <x:c r="G47" s="5"/>
      <x:c r="H47" s="5"/>
      <x:c r="I47" s="5"/>
      <x:c r="J47" s="24" t="str">
        <x:f>IFERROR(VLOOKUP(H47,Dados!$D$2:$F$63,2,0),"ERRO: VERIFICAR COMO DIRETORIA/CANAL")</x:f>
      </x:c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</x:row>
    <x:row r="48" ht="46.5" customHeight="1">
      <x:c r="A48" s="22" t="str">
        <x:f>IFERROR(VLOOKUP(C48,Dados!$A$4:$D$15,3,0),0)</x:f>
      </x:c>
      <x:c r="B48" s="25" t="str">
        <x:f>IFERROR(VLOOKUP(C48,Dados!$A$4:$B$13,2,0),"")</x:f>
      </x:c>
      <x:c r="C48" s="32"/>
      <x:c r="D48" s="5"/>
      <x:c r="E48" s="5"/>
      <x:c r="F48" s="5"/>
      <x:c r="G48" s="5"/>
      <x:c r="H48" s="5"/>
      <x:c r="I48" s="5"/>
      <x:c r="J48" s="24" t="str">
        <x:f>IFERROR(VLOOKUP(H48,Dados!$D$2:$F$63,2,0),"ERRO: VERIFICAR COMO DIRETORIA/CANAL")</x:f>
      </x:c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</x:row>
    <x:row r="49" ht="46.5" customHeight="1">
      <x:c r="A49" s="22" t="str">
        <x:f>IFERROR(VLOOKUP(C49,Dados!$A$4:$D$15,3,0),0)</x:f>
      </x:c>
      <x:c r="B49" s="25" t="str">
        <x:f>IFERROR(VLOOKUP(C49,Dados!$A$4:$B$13,2,0),"")</x:f>
      </x:c>
      <x:c r="C49" s="32"/>
      <x:c r="D49" s="5"/>
      <x:c r="E49" s="5"/>
      <x:c r="F49" s="5"/>
      <x:c r="G49" s="5"/>
      <x:c r="H49" s="5"/>
      <x:c r="I49" s="5"/>
      <x:c r="J49" s="24" t="str">
        <x:f>IFERROR(VLOOKUP(H49,Dados!$D$2:$F$63,2,0),"ERRO: VERIFICAR COMO DIRETORIA/CANAL")</x:f>
      </x:c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</x:row>
    <x:row r="50" ht="46.5" customHeight="1">
      <x:c r="A50" s="22" t="str">
        <x:f>IFERROR(VLOOKUP(C50,Dados!$A$4:$D$15,3,0),0)</x:f>
      </x:c>
      <x:c r="B50" s="25" t="str">
        <x:f>IFERROR(VLOOKUP(C50,Dados!$A$4:$B$13,2,0),"")</x:f>
      </x:c>
      <x:c r="C50" s="32"/>
      <x:c r="D50" s="5"/>
      <x:c r="E50" s="5"/>
      <x:c r="F50" s="5"/>
      <x:c r="G50" s="5"/>
      <x:c r="H50" s="5"/>
      <x:c r="I50" s="5"/>
      <x:c r="J50" s="24" t="str">
        <x:f>IFERROR(VLOOKUP(H50,Dados!$D$2:$F$63,2,0),"ERRO: VERIFICAR COMO DIRETORIA/CANAL")</x:f>
      </x:c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</x:row>
    <x:row r="51" ht="46.5" customHeight="1">
      <x:c r="A51" s="22" t="str">
        <x:f>IFERROR(VLOOKUP(C51,Dados!$A$4:$D$15,3,0),0)</x:f>
      </x:c>
      <x:c r="B51" s="25" t="str">
        <x:f>IFERROR(VLOOKUP(C51,Dados!$A$4:$B$13,2,0),"")</x:f>
      </x:c>
      <x:c r="C51" s="32"/>
      <x:c r="D51" s="5"/>
      <x:c r="E51" s="5"/>
      <x:c r="F51" s="5"/>
      <x:c r="G51" s="5"/>
      <x:c r="H51" s="5"/>
      <x:c r="I51" s="5"/>
      <x:c r="J51" s="24" t="str">
        <x:f>IFERROR(VLOOKUP(H51,Dados!$D$2:$F$63,2,0),"ERRO: VERIFICAR COMO DIRETORIA/CANAL")</x:f>
      </x:c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</x:row>
    <x:row r="52" ht="46.5" customHeight="1">
      <x:c r="A52" s="22" t="str">
        <x:f>IFERROR(VLOOKUP(C52,Dados!$A$4:$D$15,3,0),0)</x:f>
      </x:c>
      <x:c r="B52" s="25" t="str">
        <x:f>IFERROR(VLOOKUP(C52,Dados!$A$4:$B$13,2,0),"")</x:f>
      </x:c>
      <x:c r="C52" s="32"/>
      <x:c r="D52" s="5"/>
      <x:c r="E52" s="5"/>
      <x:c r="F52" s="5"/>
      <x:c r="G52" s="5"/>
      <x:c r="H52" s="5"/>
      <x:c r="I52" s="5"/>
      <x:c r="J52" s="24" t="str">
        <x:f>IFERROR(VLOOKUP(H52,Dados!$D$2:$F$63,2,0),"ERRO: VERIFICAR COMO DIRETORIA/CANAL")</x:f>
      </x:c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</x:row>
    <x:row r="53" ht="46.5" customHeight="1">
      <x:c r="A53" s="22" t="str">
        <x:f>IFERROR(VLOOKUP(C53,Dados!$A$4:$D$15,3,0),0)</x:f>
      </x:c>
      <x:c r="B53" s="25" t="str">
        <x:f>IFERROR(VLOOKUP(C53,Dados!$A$4:$B$13,2,0),"")</x:f>
      </x:c>
      <x:c r="C53" s="32"/>
      <x:c r="D53" s="5"/>
      <x:c r="E53" s="5"/>
      <x:c r="F53" s="5"/>
      <x:c r="G53" s="5"/>
      <x:c r="H53" s="5"/>
      <x:c r="I53" s="5"/>
      <x:c r="J53" s="24" t="str">
        <x:f>IFERROR(VLOOKUP(H53,Dados!$D$2:$F$63,2,0),"ERRO: VERIFICAR COMO DIRETORIA/CANAL")</x:f>
      </x:c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</x:row>
    <x:row r="54" ht="46.5" customHeight="1">
      <x:c r="A54" s="22" t="str">
        <x:f>IFERROR(VLOOKUP(C54,Dados!$A$4:$D$15,3,0),0)</x:f>
      </x:c>
      <x:c r="B54" s="25" t="str">
        <x:f>IFERROR(VLOOKUP(C54,Dados!$A$4:$B$13,2,0),"")</x:f>
      </x:c>
      <x:c r="C54" s="32"/>
      <x:c r="D54" s="5"/>
      <x:c r="E54" s="5"/>
      <x:c r="F54" s="5"/>
      <x:c r="G54" s="5"/>
      <x:c r="H54" s="5"/>
      <x:c r="I54" s="5"/>
      <x:c r="J54" s="24" t="str">
        <x:f>IFERROR(VLOOKUP(H54,Dados!$D$2:$F$63,2,0),"ERRO: VERIFICAR COMO DIRETORIA/CANAL")</x:f>
      </x:c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</x:row>
    <x:row r="55" ht="46.5" customHeight="1">
      <x:c r="A55" s="22" t="str">
        <x:f>IFERROR(VLOOKUP(C55,Dados!$A$4:$D$15,3,0),0)</x:f>
      </x:c>
      <x:c r="B55" s="25" t="str">
        <x:f>IFERROR(VLOOKUP(C55,Dados!$A$4:$B$13,2,0),"")</x:f>
      </x:c>
      <x:c r="C55" s="32"/>
      <x:c r="D55" s="5"/>
      <x:c r="E55" s="5"/>
      <x:c r="F55" s="5"/>
      <x:c r="G55" s="5"/>
      <x:c r="H55" s="5"/>
      <x:c r="I55" s="5"/>
      <x:c r="J55" s="24" t="str">
        <x:f>IFERROR(VLOOKUP(H55,Dados!$D$2:$F$63,2,0),"ERRO: VERIFICAR COMO DIRETORIA/CANAL")</x:f>
      </x:c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</x:row>
    <x:row r="56" ht="46.5" customHeight="1">
      <x:c r="A56" s="22" t="str">
        <x:f>IFERROR(VLOOKUP(C56,Dados!$A$4:$D$15,3,0),0)</x:f>
      </x:c>
      <x:c r="B56" s="25" t="str">
        <x:f>IFERROR(VLOOKUP(C56,Dados!$A$4:$B$13,2,0),"")</x:f>
      </x:c>
      <x:c r="C56" s="32"/>
      <x:c r="D56" s="5"/>
      <x:c r="E56" s="5"/>
      <x:c r="F56" s="5"/>
      <x:c r="G56" s="5"/>
      <x:c r="H56" s="5"/>
      <x:c r="I56" s="5"/>
      <x:c r="J56" s="24" t="str">
        <x:f>IFERROR(VLOOKUP(H56,Dados!$D$2:$F$63,2,0),"ERRO: VERIFICAR COMO DIRETORIA/CANAL")</x:f>
      </x:c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</x:row>
    <x:row r="57" ht="46.5" customHeight="1">
      <x:c r="A57" s="22" t="str">
        <x:f>IFERROR(VLOOKUP(C57,Dados!$A$4:$D$15,3,0),0)</x:f>
      </x:c>
      <x:c r="B57" s="25" t="str">
        <x:f>IFERROR(VLOOKUP(C57,Dados!$A$4:$B$13,2,0),"")</x:f>
      </x:c>
      <x:c r="C57" s="32"/>
      <x:c r="D57" s="5"/>
      <x:c r="E57" s="5"/>
      <x:c r="F57" s="5"/>
      <x:c r="G57" s="5"/>
      <x:c r="H57" s="5"/>
      <x:c r="I57" s="5"/>
      <x:c r="J57" s="24" t="str">
        <x:f>IFERROR(VLOOKUP(H57,Dados!$D$2:$F$63,2,0),"ERRO: VERIFICAR COMO DIRETORIA/CANAL")</x:f>
      </x:c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</x:row>
    <x:row r="58" ht="46.5" customHeight="1">
      <x:c r="A58" s="22" t="str">
        <x:f>IFERROR(VLOOKUP(C58,Dados!$A$4:$D$15,3,0),0)</x:f>
      </x:c>
      <x:c r="B58" s="25" t="str">
        <x:f>IFERROR(VLOOKUP(C58,Dados!$A$4:$B$13,2,0),"")</x:f>
      </x:c>
      <x:c r="C58" s="32"/>
      <x:c r="D58" s="5"/>
      <x:c r="E58" s="5"/>
      <x:c r="F58" s="5"/>
      <x:c r="G58" s="5"/>
      <x:c r="H58" s="5"/>
      <x:c r="I58" s="5"/>
      <x:c r="J58" s="24" t="str">
        <x:f>IFERROR(VLOOKUP(H58,Dados!$D$2:$F$63,2,0),"ERRO: VERIFICAR COMO DIRETORIA/CANAL")</x:f>
      </x:c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</x:row>
    <x:row r="59" ht="46.5" customHeight="1">
      <x:c r="A59" s="22" t="str">
        <x:f>IFERROR(VLOOKUP(C59,Dados!$A$4:$D$15,3,0),0)</x:f>
      </x:c>
      <x:c r="B59" s="25" t="str">
        <x:f>IFERROR(VLOOKUP(C59,Dados!$A$4:$B$13,2,0),"")</x:f>
      </x:c>
      <x:c r="C59" s="32"/>
      <x:c r="D59" s="5"/>
      <x:c r="E59" s="5"/>
      <x:c r="F59" s="5"/>
      <x:c r="G59" s="5"/>
      <x:c r="H59" s="5"/>
      <x:c r="I59" s="5"/>
      <x:c r="J59" s="24" t="str">
        <x:f>IFERROR(VLOOKUP(H59,Dados!$D$2:$F$63,2,0),"ERRO: VERIFICAR COMO DIRETORIA/CANAL")</x:f>
      </x:c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</x:row>
    <x:row r="60" ht="46.5" customHeight="1">
      <x:c r="A60" s="22" t="str">
        <x:f>IFERROR(VLOOKUP(C60,Dados!$A$4:$D$15,3,0),0)</x:f>
      </x:c>
      <x:c r="B60" s="25" t="str">
        <x:f>IFERROR(VLOOKUP(C60,Dados!$A$4:$B$13,2,0),"")</x:f>
      </x:c>
      <x:c r="C60" s="32"/>
      <x:c r="D60" s="5"/>
      <x:c r="E60" s="5"/>
      <x:c r="F60" s="5"/>
      <x:c r="G60" s="5"/>
      <x:c r="H60" s="5"/>
      <x:c r="I60" s="5"/>
      <x:c r="J60" s="24" t="str">
        <x:f>IFERROR(VLOOKUP(H60,Dados!$D$2:$F$63,2,0),"ERRO: VERIFICAR COMO DIRETORIA/CANAL")</x:f>
      </x:c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</x:row>
    <x:row r="61" ht="46.5" customHeight="1">
      <x:c r="A61" s="22" t="str">
        <x:f>IFERROR(VLOOKUP(C61,Dados!$A$4:$D$15,3,0),0)</x:f>
      </x:c>
      <x:c r="B61" s="25" t="str">
        <x:f>IFERROR(VLOOKUP(C61,Dados!$A$4:$B$13,2,0),"")</x:f>
      </x:c>
      <x:c r="C61" s="32"/>
      <x:c r="D61" s="5"/>
      <x:c r="E61" s="5"/>
      <x:c r="F61" s="5"/>
      <x:c r="G61" s="5"/>
      <x:c r="H61" s="5"/>
      <x:c r="I61" s="5"/>
      <x:c r="J61" s="24" t="str">
        <x:f>IFERROR(VLOOKUP(H61,Dados!$D$2:$F$63,2,0),"ERRO: VERIFICAR COMO DIRETORIA/CANAL")</x:f>
      </x:c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</x:row>
    <x:row r="62" ht="46.5" customHeight="1">
      <x:c r="A62" s="22" t="str">
        <x:f>IFERROR(VLOOKUP(C62,Dados!$A$4:$D$15,3,0),0)</x:f>
      </x:c>
      <x:c r="B62" s="25" t="str">
        <x:f>IFERROR(VLOOKUP(C62,Dados!$A$4:$B$13,2,0),"")</x:f>
      </x:c>
      <x:c r="C62" s="32"/>
      <x:c r="D62" s="5"/>
      <x:c r="E62" s="5"/>
      <x:c r="F62" s="5"/>
      <x:c r="G62" s="5"/>
      <x:c r="H62" s="5"/>
      <x:c r="I62" s="5"/>
      <x:c r="J62" s="24" t="str">
        <x:f>IFERROR(VLOOKUP(H62,Dados!$D$2:$F$63,2,0),"ERRO: VERIFICAR COMO DIRETORIA/CANAL")</x:f>
      </x:c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</x:row>
    <x:row r="63" ht="46.5" customHeight="1">
      <x:c r="A63" s="22" t="str">
        <x:f>IFERROR(VLOOKUP(C63,Dados!$A$4:$D$15,3,0),0)</x:f>
      </x:c>
      <x:c r="B63" s="25" t="str">
        <x:f>IFERROR(VLOOKUP(C63,Dados!$A$4:$B$13,2,0),"")</x:f>
      </x:c>
      <x:c r="C63" s="32"/>
      <x:c r="D63" s="5"/>
      <x:c r="E63" s="5"/>
      <x:c r="F63" s="5"/>
      <x:c r="G63" s="5"/>
      <x:c r="H63" s="5"/>
      <x:c r="I63" s="5"/>
      <x:c r="J63" s="24" t="str">
        <x:f>IFERROR(VLOOKUP(H63,Dados!$D$2:$F$63,2,0),"ERRO: VERIFICAR COMO DIRETORIA/CANAL")</x:f>
      </x:c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</x:row>
    <x:row r="64" ht="46.5" customHeight="1">
      <x:c r="A64" s="22" t="str">
        <x:f>IFERROR(VLOOKUP(C64,Dados!$A$4:$D$15,3,0),0)</x:f>
      </x:c>
      <x:c r="B64" s="25" t="str">
        <x:f>IFERROR(VLOOKUP(C64,Dados!$A$4:$B$13,2,0),"")</x:f>
      </x:c>
      <x:c r="C64" s="32"/>
      <x:c r="D64" s="5"/>
      <x:c r="E64" s="5"/>
      <x:c r="F64" s="5"/>
      <x:c r="G64" s="5"/>
      <x:c r="H64" s="5"/>
      <x:c r="I64" s="5"/>
      <x:c r="J64" s="24" t="str">
        <x:f>IFERROR(VLOOKUP(H64,Dados!$D$2:$F$63,2,0),"ERRO: VERIFICAR COMO DIRETORIA/CANAL")</x:f>
      </x:c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</x:row>
    <x:row r="65" ht="46.5" customHeight="1">
      <x:c r="A65" s="22" t="str">
        <x:f>IFERROR(VLOOKUP(C65,Dados!$A$4:$D$15,3,0),0)</x:f>
      </x:c>
      <x:c r="B65" s="25" t="str">
        <x:f>IFERROR(VLOOKUP(C65,Dados!$A$4:$B$13,2,0),"")</x:f>
      </x:c>
      <x:c r="C65" s="32"/>
      <x:c r="D65" s="5"/>
      <x:c r="E65" s="5"/>
      <x:c r="F65" s="5"/>
      <x:c r="G65" s="5"/>
      <x:c r="H65" s="5"/>
      <x:c r="I65" s="5"/>
      <x:c r="J65" s="24" t="str">
        <x:f>IFERROR(VLOOKUP(H65,Dados!$D$2:$F$63,2,0),"ERRO: VERIFICAR COMO DIRETORIA/CANAL")</x:f>
      </x:c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</x:row>
    <x:row r="66" ht="46.5" customHeight="1">
      <x:c r="A66" s="22" t="str">
        <x:f>IFERROR(VLOOKUP(C66,Dados!$A$4:$D$15,3,0),0)</x:f>
      </x:c>
      <x:c r="B66" s="25" t="str">
        <x:f>IFERROR(VLOOKUP(C66,Dados!$A$4:$B$13,2,0),"")</x:f>
      </x:c>
      <x:c r="C66" s="32"/>
      <x:c r="D66" s="5"/>
      <x:c r="E66" s="5"/>
      <x:c r="F66" s="5"/>
      <x:c r="G66" s="5"/>
      <x:c r="H66" s="5"/>
      <x:c r="I66" s="5"/>
      <x:c r="J66" s="24" t="str">
        <x:f>IFERROR(VLOOKUP(H66,Dados!$D$2:$F$63,2,0),"ERRO: VERIFICAR COMO DIRETORIA/CANAL")</x:f>
      </x:c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</x:row>
    <x:row r="67" ht="46.5" customHeight="1">
      <x:c r="A67" s="22" t="str">
        <x:f>IFERROR(VLOOKUP(C67,Dados!$A$4:$D$15,3,0),0)</x:f>
      </x:c>
      <x:c r="B67" s="25" t="str">
        <x:f>IFERROR(VLOOKUP(C67,Dados!$A$4:$B$13,2,0),"")</x:f>
      </x:c>
      <x:c r="C67" s="32"/>
      <x:c r="D67" s="5"/>
      <x:c r="E67" s="5"/>
      <x:c r="F67" s="5"/>
      <x:c r="G67" s="5"/>
      <x:c r="H67" s="5"/>
      <x:c r="I67" s="5"/>
      <x:c r="J67" s="24" t="str">
        <x:f>IFERROR(VLOOKUP(H67,Dados!$D$2:$F$63,2,0),"ERRO: VERIFICAR COMO DIRETORIA/CANAL")</x:f>
      </x:c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</x:row>
    <x:row r="68" ht="46.5" customHeight="1">
      <x:c r="A68" s="22" t="str">
        <x:f>IFERROR(VLOOKUP(C68,Dados!$A$4:$D$15,3,0),0)</x:f>
      </x:c>
      <x:c r="B68" s="25" t="str">
        <x:f>IFERROR(VLOOKUP(C68,Dados!$A$4:$B$13,2,0),"")</x:f>
      </x:c>
      <x:c r="C68" s="32"/>
      <x:c r="D68" s="5"/>
      <x:c r="E68" s="5"/>
      <x:c r="F68" s="5"/>
      <x:c r="G68" s="5"/>
      <x:c r="H68" s="5"/>
      <x:c r="I68" s="5"/>
      <x:c r="J68" s="24" t="str">
        <x:f>IFERROR(VLOOKUP(H68,Dados!$D$2:$F$63,2,0),"ERRO: VERIFICAR COMO DIRETORIA/CANAL")</x:f>
      </x:c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</x:row>
    <x:row r="69" ht="46.5" customHeight="1">
      <x:c r="A69" s="22" t="str">
        <x:f>IFERROR(VLOOKUP(C69,Dados!$A$4:$D$15,3,0),0)</x:f>
      </x:c>
      <x:c r="B69" s="25" t="str">
        <x:f>IFERROR(VLOOKUP(C69,Dados!$A$4:$B$13,2,0),"")</x:f>
      </x:c>
      <x:c r="C69" s="32"/>
      <x:c r="D69" s="5"/>
      <x:c r="E69" s="5"/>
      <x:c r="F69" s="5"/>
      <x:c r="G69" s="5"/>
      <x:c r="H69" s="5"/>
      <x:c r="I69" s="5"/>
      <x:c r="J69" s="24" t="str">
        <x:f>IFERROR(VLOOKUP(H69,Dados!$D$2:$F$63,2,0),"ERRO: VERIFICAR COMO DIRETORIA/CANAL")</x:f>
      </x:c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</x:row>
    <x:row r="70" ht="46.5" customHeight="1">
      <x:c r="A70" s="22" t="str">
        <x:f>IFERROR(VLOOKUP(C70,Dados!$A$4:$D$15,3,0),0)</x:f>
      </x:c>
      <x:c r="B70" s="25" t="str">
        <x:f>IFERROR(VLOOKUP(C70,Dados!$A$4:$B$13,2,0),"")</x:f>
      </x:c>
      <x:c r="C70" s="32"/>
      <x:c r="D70" s="5"/>
      <x:c r="E70" s="5"/>
      <x:c r="F70" s="5"/>
      <x:c r="G70" s="5"/>
      <x:c r="H70" s="5"/>
      <x:c r="I70" s="5"/>
      <x:c r="J70" s="24" t="str">
        <x:f>IFERROR(VLOOKUP(H70,Dados!$D$2:$F$63,2,0),"ERRO: VERIFICAR COMO DIRETORIA/CANAL")</x:f>
      </x:c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</x:row>
    <x:row r="71" ht="46.5" customHeight="1">
      <x:c r="A71" s="22" t="str">
        <x:f>IFERROR(VLOOKUP(C71,Dados!$A$4:$D$15,3,0),0)</x:f>
      </x:c>
      <x:c r="B71" s="25" t="str">
        <x:f>IFERROR(VLOOKUP(C71,Dados!$A$4:$B$13,2,0),"")</x:f>
      </x:c>
      <x:c r="C71" s="32"/>
      <x:c r="D71" s="5"/>
      <x:c r="E71" s="5"/>
      <x:c r="F71" s="5"/>
      <x:c r="G71" s="5"/>
      <x:c r="H71" s="5"/>
      <x:c r="I71" s="5"/>
      <x:c r="J71" s="24" t="str">
        <x:f>IFERROR(VLOOKUP(H71,Dados!$D$2:$F$63,2,0),"ERRO: VERIFICAR COMO DIRETORIA/CANAL")</x:f>
      </x:c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</x:row>
    <x:row r="72" ht="46.5" customHeight="1">
      <x:c r="A72" s="22" t="str">
        <x:f>IFERROR(VLOOKUP(C72,Dados!$A$4:$D$15,3,0),0)</x:f>
      </x:c>
      <x:c r="B72" s="25" t="str">
        <x:f>IFERROR(VLOOKUP(C72,Dados!$A$4:$B$13,2,0),"")</x:f>
      </x:c>
      <x:c r="C72" s="32"/>
      <x:c r="D72" s="5"/>
      <x:c r="E72" s="5"/>
      <x:c r="F72" s="5"/>
      <x:c r="G72" s="5"/>
      <x:c r="H72" s="5"/>
      <x:c r="I72" s="5"/>
      <x:c r="J72" s="24" t="str">
        <x:f>IFERROR(VLOOKUP(H72,Dados!$D$2:$F$63,2,0),"ERRO: VERIFICAR COMO DIRETORIA/CANAL")</x:f>
      </x:c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</x:row>
    <x:row r="73" ht="46.5" customHeight="1">
      <x:c r="A73" s="22" t="str">
        <x:f>IFERROR(VLOOKUP(C73,Dados!$A$4:$D$15,3,0),0)</x:f>
      </x:c>
      <x:c r="B73" s="25" t="str">
        <x:f>IFERROR(VLOOKUP(C73,Dados!$A$4:$B$13,2,0),"")</x:f>
      </x:c>
      <x:c r="C73" s="32"/>
      <x:c r="D73" s="5"/>
      <x:c r="E73" s="5"/>
      <x:c r="F73" s="5"/>
      <x:c r="G73" s="5"/>
      <x:c r="H73" s="5"/>
      <x:c r="I73" s="5"/>
      <x:c r="J73" s="24" t="str">
        <x:f>IFERROR(VLOOKUP(H73,Dados!$D$2:$F$63,2,0),"ERRO: VERIFICAR COMO DIRETORIA/CANAL")</x:f>
      </x:c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</x:row>
    <x:row r="74" ht="46.5" customHeight="1">
      <x:c r="A74" s="22" t="str">
        <x:f>IFERROR(VLOOKUP(C74,Dados!$A$4:$D$15,3,0),0)</x:f>
      </x:c>
      <x:c r="B74" s="25" t="str">
        <x:f>IFERROR(VLOOKUP(C74,Dados!$A$4:$B$13,2,0),"")</x:f>
      </x:c>
      <x:c r="C74" s="32"/>
      <x:c r="D74" s="5"/>
      <x:c r="E74" s="5"/>
      <x:c r="F74" s="5"/>
      <x:c r="G74" s="5"/>
      <x:c r="H74" s="5"/>
      <x:c r="I74" s="5"/>
      <x:c r="J74" s="24" t="str">
        <x:f>IFERROR(VLOOKUP(H74,Dados!$D$2:$F$63,2,0),"ERRO: VERIFICAR COMO DIRETORIA/CANAL")</x:f>
      </x:c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</x:row>
    <x:row r="75" ht="46.5" customHeight="1">
      <x:c r="A75" s="22" t="str">
        <x:f>IFERROR(VLOOKUP(C75,Dados!$A$4:$D$15,3,0),0)</x:f>
      </x:c>
      <x:c r="B75" s="25" t="str">
        <x:f>IFERROR(VLOOKUP(C75,Dados!$A$4:$B$13,2,0),"")</x:f>
      </x:c>
      <x:c r="C75" s="32"/>
      <x:c r="D75" s="5"/>
      <x:c r="E75" s="5"/>
      <x:c r="F75" s="5"/>
      <x:c r="G75" s="5"/>
      <x:c r="H75" s="5"/>
      <x:c r="I75" s="5"/>
      <x:c r="J75" s="24" t="str">
        <x:f>IFERROR(VLOOKUP(H75,Dados!$D$2:$F$63,2,0),"ERRO: VERIFICAR COMO DIRETORIA/CANAL")</x:f>
      </x:c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</x:row>
    <x:row r="76" ht="46.5" customHeight="1">
      <x:c r="A76" s="22" t="str">
        <x:f>IFERROR(VLOOKUP(C76,Dados!$A$4:$D$15,3,0),0)</x:f>
      </x:c>
      <x:c r="B76" s="25" t="str">
        <x:f>IFERROR(VLOOKUP(C76,Dados!$A$4:$B$13,2,0),"")</x:f>
      </x:c>
      <x:c r="C76" s="32"/>
      <x:c r="D76" s="5"/>
      <x:c r="E76" s="5"/>
      <x:c r="F76" s="5"/>
      <x:c r="G76" s="5"/>
      <x:c r="H76" s="5"/>
      <x:c r="I76" s="5"/>
      <x:c r="J76" s="24" t="str">
        <x:f>IFERROR(VLOOKUP(H76,Dados!$D$2:$F$63,2,0),"ERRO: VERIFICAR COMO DIRETORIA/CANAL")</x:f>
      </x:c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</x:row>
    <x:row r="77" ht="46.5" customHeight="1">
      <x:c r="A77" s="22" t="str">
        <x:f>IFERROR(VLOOKUP(C77,Dados!$A$4:$D$15,3,0),0)</x:f>
      </x:c>
      <x:c r="B77" s="25" t="str">
        <x:f>IFERROR(VLOOKUP(C77,Dados!$A$4:$B$13,2,0),"")</x:f>
      </x:c>
      <x:c r="C77" s="32"/>
      <x:c r="D77" s="5"/>
      <x:c r="E77" s="5"/>
      <x:c r="F77" s="5"/>
      <x:c r="G77" s="5"/>
      <x:c r="H77" s="5"/>
      <x:c r="I77" s="5"/>
      <x:c r="J77" s="24" t="str">
        <x:f>IFERROR(VLOOKUP(H77,Dados!$D$2:$F$63,2,0),"ERRO: VERIFICAR COMO DIRETORIA/CANAL")</x:f>
      </x:c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</x:row>
    <x:row r="78" ht="46.5" customHeight="1">
      <x:c r="A78" s="22" t="str">
        <x:f>IFERROR(VLOOKUP(C78,Dados!$A$4:$D$15,3,0),0)</x:f>
      </x:c>
      <x:c r="B78" s="25" t="str">
        <x:f>IFERROR(VLOOKUP(C78,Dados!$A$4:$B$13,2,0),"")</x:f>
      </x:c>
      <x:c r="C78" s="32"/>
      <x:c r="D78" s="5"/>
      <x:c r="E78" s="5"/>
      <x:c r="F78" s="5"/>
      <x:c r="G78" s="5"/>
      <x:c r="H78" s="5"/>
      <x:c r="I78" s="5"/>
      <x:c r="J78" s="24" t="str">
        <x:f>IFERROR(VLOOKUP(H78,Dados!$D$2:$F$63,2,0),"ERRO: VERIFICAR COMO DIRETORIA/CANAL")</x:f>
      </x:c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</x:row>
    <x:row r="79" ht="46.5" customHeight="1">
      <x:c r="A79" s="22" t="str">
        <x:f>IFERROR(VLOOKUP(C79,Dados!$A$4:$D$15,3,0),0)</x:f>
      </x:c>
      <x:c r="B79" s="25" t="str">
        <x:f>IFERROR(VLOOKUP(C79,Dados!$A$4:$B$13,2,0),"")</x:f>
      </x:c>
      <x:c r="C79" s="32"/>
      <x:c r="D79" s="5"/>
      <x:c r="E79" s="5"/>
      <x:c r="F79" s="5"/>
      <x:c r="G79" s="5"/>
      <x:c r="H79" s="5"/>
      <x:c r="I79" s="5"/>
      <x:c r="J79" s="24" t="str">
        <x:f>IFERROR(VLOOKUP(H79,Dados!$D$2:$F$63,2,0),"ERRO: VERIFICAR COMO DIRETORIA/CANAL")</x:f>
      </x:c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</x:row>
    <x:row r="80" ht="46.5" customHeight="1">
      <x:c r="A80" s="22" t="str">
        <x:f>IFERROR(VLOOKUP(C80,Dados!$A$4:$D$15,3,0),0)</x:f>
      </x:c>
      <x:c r="B80" s="25" t="str">
        <x:f>IFERROR(VLOOKUP(C80,Dados!$A$4:$B$13,2,0),"")</x:f>
      </x:c>
      <x:c r="C80" s="32"/>
      <x:c r="D80" s="5"/>
      <x:c r="E80" s="5"/>
      <x:c r="F80" s="5"/>
      <x:c r="G80" s="5"/>
      <x:c r="H80" s="5"/>
      <x:c r="I80" s="5"/>
      <x:c r="J80" s="24" t="str">
        <x:f>IFERROR(VLOOKUP(H80,Dados!$D$2:$F$63,2,0),"ERRO: VERIFICAR COMO DIRETORIA/CANAL")</x:f>
      </x:c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</x:row>
    <x:row r="81" ht="46.5" customHeight="1">
      <x:c r="A81" s="22" t="str">
        <x:f>IFERROR(VLOOKUP(C81,Dados!$A$4:$D$15,3,0),0)</x:f>
      </x:c>
      <x:c r="B81" s="25" t="str">
        <x:f>IFERROR(VLOOKUP(C81,Dados!$A$4:$B$13,2,0),"")</x:f>
      </x:c>
      <x:c r="C81" s="32"/>
      <x:c r="D81" s="5"/>
      <x:c r="E81" s="5"/>
      <x:c r="F81" s="5"/>
      <x:c r="G81" s="5"/>
      <x:c r="H81" s="5"/>
      <x:c r="I81" s="5"/>
      <x:c r="J81" s="24" t="str">
        <x:f>IFERROR(VLOOKUP(H81,Dados!$D$2:$F$63,2,0),"ERRO: VERIFICAR COMO DIRETORIA/CANAL")</x:f>
      </x:c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</x:row>
    <x:row r="82" ht="46.5" customHeight="1">
      <x:c r="A82" s="22" t="str">
        <x:f>IFERROR(VLOOKUP(C82,Dados!$A$4:$D$15,3,0),0)</x:f>
      </x:c>
      <x:c r="B82" s="25" t="str">
        <x:f>IFERROR(VLOOKUP(C82,Dados!$A$4:$B$13,2,0),"")</x:f>
      </x:c>
      <x:c r="C82" s="32"/>
      <x:c r="D82" s="5"/>
      <x:c r="E82" s="5"/>
      <x:c r="F82" s="5"/>
      <x:c r="G82" s="5"/>
      <x:c r="H82" s="5"/>
      <x:c r="I82" s="5"/>
      <x:c r="J82" s="24" t="str">
        <x:f>IFERROR(VLOOKUP(H82,Dados!$D$2:$F$63,2,0),"ERRO: VERIFICAR COMO DIRETORIA/CANAL")</x:f>
      </x:c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</x:row>
    <x:row r="83" ht="46.5" customHeight="1">
      <x:c r="A83" s="22" t="str">
        <x:f>IFERROR(VLOOKUP(C83,Dados!$A$4:$D$15,3,0),0)</x:f>
      </x:c>
      <x:c r="B83" s="25" t="str">
        <x:f>IFERROR(VLOOKUP(C83,Dados!$A$4:$B$13,2,0),"")</x:f>
      </x:c>
      <x:c r="C83" s="32"/>
      <x:c r="D83" s="5"/>
      <x:c r="E83" s="5"/>
      <x:c r="F83" s="5"/>
      <x:c r="G83" s="5"/>
      <x:c r="H83" s="5"/>
      <x:c r="I83" s="5"/>
      <x:c r="J83" s="24" t="str">
        <x:f>IFERROR(VLOOKUP(H83,Dados!$D$2:$F$63,2,0),"ERRO: VERIFICAR COMO DIRETORIA/CANAL")</x:f>
      </x:c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</x:row>
    <x:row r="84" ht="46.5" customHeight="1">
      <x:c r="A84" s="22" t="str">
        <x:f>IFERROR(VLOOKUP(C84,Dados!$A$4:$D$15,3,0),0)</x:f>
      </x:c>
      <x:c r="B84" s="25" t="str">
        <x:f>IFERROR(VLOOKUP(C84,Dados!$A$4:$B$13,2,0),"")</x:f>
      </x:c>
      <x:c r="C84" s="32"/>
      <x:c r="D84" s="5"/>
      <x:c r="E84" s="5"/>
      <x:c r="F84" s="5"/>
      <x:c r="G84" s="5"/>
      <x:c r="H84" s="5"/>
      <x:c r="I84" s="5"/>
      <x:c r="J84" s="24" t="str">
        <x:f>IFERROR(VLOOKUP(H84,Dados!$D$2:$F$63,2,0),"ERRO: VERIFICAR COMO DIRETORIA/CANAL")</x:f>
      </x:c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</x:row>
    <x:row r="85" ht="46.5" customHeight="1">
      <x:c r="A85" s="22" t="str">
        <x:f>IFERROR(VLOOKUP(C85,Dados!$A$4:$D$15,3,0),0)</x:f>
      </x:c>
      <x:c r="B85" s="25" t="str">
        <x:f>IFERROR(VLOOKUP(C85,Dados!$A$4:$B$13,2,0),"")</x:f>
      </x:c>
      <x:c r="C85" s="32"/>
      <x:c r="D85" s="5"/>
      <x:c r="E85" s="5"/>
      <x:c r="F85" s="5"/>
      <x:c r="G85" s="5"/>
      <x:c r="H85" s="5"/>
      <x:c r="I85" s="5"/>
      <x:c r="J85" s="24" t="str">
        <x:f>IFERROR(VLOOKUP(H85,Dados!$D$2:$F$63,2,0),"ERRO: VERIFICAR COMO DIRETORIA/CANAL")</x:f>
      </x:c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</x:row>
    <x:row r="86" ht="46.5" customHeight="1">
      <x:c r="A86" s="22" t="str">
        <x:f>IFERROR(VLOOKUP(C86,Dados!$A$4:$D$15,3,0),0)</x:f>
      </x:c>
      <x:c r="B86" s="25" t="str">
        <x:f>IFERROR(VLOOKUP(C86,Dados!$A$4:$B$13,2,0),"")</x:f>
      </x:c>
      <x:c r="C86" s="32"/>
      <x:c r="D86" s="5"/>
      <x:c r="E86" s="5"/>
      <x:c r="F86" s="5"/>
      <x:c r="G86" s="5"/>
      <x:c r="H86" s="5"/>
      <x:c r="I86" s="5"/>
      <x:c r="J86" s="24" t="str">
        <x:f>IFERROR(VLOOKUP(H86,Dados!$D$2:$F$63,2,0),"ERRO: VERIFICAR COMO DIRETORIA/CANAL")</x:f>
      </x:c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</x:row>
    <x:row r="87" ht="46.5" customHeight="1">
      <x:c r="A87" s="22" t="str">
        <x:f>IFERROR(VLOOKUP(C87,Dados!$A$4:$D$15,3,0),0)</x:f>
      </x:c>
      <x:c r="B87" s="25" t="str">
        <x:f>IFERROR(VLOOKUP(C87,Dados!$A$4:$B$13,2,0),"")</x:f>
      </x:c>
      <x:c r="C87" s="32"/>
      <x:c r="D87" s="5"/>
      <x:c r="E87" s="5"/>
      <x:c r="F87" s="5"/>
      <x:c r="G87" s="5"/>
      <x:c r="H87" s="5"/>
      <x:c r="I87" s="5"/>
      <x:c r="J87" s="24" t="str">
        <x:f>IFERROR(VLOOKUP(H87,Dados!$D$2:$F$63,2,0),"ERRO: VERIFICAR COMO DIRETORIA/CANAL")</x:f>
      </x:c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</x:row>
    <x:row r="88" ht="46.5" customHeight="1">
      <x:c r="A88" s="22" t="str">
        <x:f>IFERROR(VLOOKUP(C88,Dados!$A$4:$D$15,3,0),0)</x:f>
      </x:c>
      <x:c r="B88" s="25" t="str">
        <x:f>IFERROR(VLOOKUP(C88,Dados!$A$4:$B$13,2,0),"")</x:f>
      </x:c>
      <x:c r="C88" s="32"/>
      <x:c r="D88" s="5"/>
      <x:c r="E88" s="5"/>
      <x:c r="F88" s="5"/>
      <x:c r="G88" s="5"/>
      <x:c r="H88" s="5"/>
      <x:c r="I88" s="5"/>
      <x:c r="J88" s="24" t="str">
        <x:f>IFERROR(VLOOKUP(H88,Dados!$D$2:$F$63,2,0),"ERRO: VERIFICAR COMO DIRETORIA/CANAL")</x:f>
      </x:c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</x:row>
    <x:row r="89" ht="46.5" customHeight="1">
      <x:c r="A89" s="22" t="str">
        <x:f>IFERROR(VLOOKUP(C89,Dados!$A$4:$D$15,3,0),0)</x:f>
      </x:c>
      <x:c r="B89" s="25" t="str">
        <x:f>IFERROR(VLOOKUP(C89,Dados!$A$4:$B$13,2,0),"")</x:f>
      </x:c>
      <x:c r="C89" s="32"/>
      <x:c r="D89" s="5"/>
      <x:c r="E89" s="5"/>
      <x:c r="F89" s="5"/>
      <x:c r="G89" s="5"/>
      <x:c r="H89" s="5"/>
      <x:c r="I89" s="5"/>
      <x:c r="J89" s="24" t="str">
        <x:f>IFERROR(VLOOKUP(H89,Dados!$D$2:$F$63,2,0),"ERRO: VERIFICAR COMO DIRETORIA/CANAL")</x:f>
      </x:c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</x:row>
    <x:row r="90" ht="46.5" customHeight="1">
      <x:c r="A90" s="22" t="str">
        <x:f>IFERROR(VLOOKUP(C90,Dados!$A$4:$D$15,3,0),0)</x:f>
      </x:c>
      <x:c r="B90" s="25" t="str">
        <x:f>IFERROR(VLOOKUP(C90,Dados!$A$4:$B$13,2,0),"")</x:f>
      </x:c>
      <x:c r="C90" s="32"/>
      <x:c r="D90" s="5"/>
      <x:c r="E90" s="5"/>
      <x:c r="F90" s="5"/>
      <x:c r="G90" s="5"/>
      <x:c r="H90" s="5"/>
      <x:c r="I90" s="5"/>
      <x:c r="J90" s="24" t="str">
        <x:f>IFERROR(VLOOKUP(H90,Dados!$D$2:$F$63,2,0),"ERRO: VERIFICAR COMO DIRETORIA/CANAL")</x:f>
      </x:c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</x:row>
    <x:row r="91" ht="46.5" customHeight="1">
      <x:c r="A91" s="22" t="str">
        <x:f>IFERROR(VLOOKUP(C91,Dados!$A$4:$D$15,3,0),0)</x:f>
      </x:c>
      <x:c r="B91" s="25" t="str">
        <x:f>IFERROR(VLOOKUP(C91,Dados!$A$4:$B$13,2,0),"")</x:f>
      </x:c>
      <x:c r="C91" s="32"/>
      <x:c r="D91" s="5"/>
      <x:c r="E91" s="5"/>
      <x:c r="F91" s="5"/>
      <x:c r="G91" s="5"/>
      <x:c r="H91" s="5"/>
      <x:c r="I91" s="5"/>
      <x:c r="J91" s="24" t="str">
        <x:f>IFERROR(VLOOKUP(H91,Dados!$D$2:$F$63,2,0),"ERRO: VERIFICAR COMO DIRETORIA/CANAL")</x:f>
      </x:c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</x:row>
    <x:row r="92" ht="46.5" customHeight="1">
      <x:c r="A92" s="22" t="str">
        <x:f>IFERROR(VLOOKUP(C92,Dados!$A$4:$D$15,3,0),0)</x:f>
      </x:c>
      <x:c r="B92" s="25" t="str">
        <x:f>IFERROR(VLOOKUP(C92,Dados!$A$4:$B$13,2,0),"")</x:f>
      </x:c>
      <x:c r="C92" s="32"/>
      <x:c r="D92" s="5"/>
      <x:c r="E92" s="5"/>
      <x:c r="F92" s="5"/>
      <x:c r="G92" s="5"/>
      <x:c r="H92" s="5"/>
      <x:c r="I92" s="5"/>
      <x:c r="J92" s="24" t="str">
        <x:f>IFERROR(VLOOKUP(H92,Dados!$D$2:$F$63,2,0),"ERRO: VERIFICAR COMO DIRETORIA/CANAL")</x:f>
      </x:c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</x:row>
    <x:row r="93" ht="46.5" customHeight="1">
      <x:c r="A93" s="22" t="str">
        <x:f>IFERROR(VLOOKUP(C93,Dados!$A$4:$D$15,3,0),0)</x:f>
      </x:c>
      <x:c r="B93" s="25" t="str">
        <x:f>IFERROR(VLOOKUP(C93,Dados!$A$4:$B$13,2,0),"")</x:f>
      </x:c>
      <x:c r="C93" s="32"/>
      <x:c r="D93" s="5"/>
      <x:c r="E93" s="5"/>
      <x:c r="F93" s="5"/>
      <x:c r="G93" s="5"/>
      <x:c r="H93" s="5"/>
      <x:c r="I93" s="5"/>
      <x:c r="J93" s="24" t="str">
        <x:f>IFERROR(VLOOKUP(H93,Dados!$D$2:$F$63,2,0),"ERRO: VERIFICAR COMO DIRETORIA/CANAL")</x:f>
      </x:c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</x:row>
    <x:row r="94" ht="46.5" customHeight="1">
      <x:c r="A94" s="22" t="str">
        <x:f>IFERROR(VLOOKUP(C94,Dados!$A$4:$D$15,3,0),0)</x:f>
      </x:c>
      <x:c r="B94" s="25" t="str">
        <x:f>IFERROR(VLOOKUP(C94,Dados!$A$4:$B$13,2,0),"")</x:f>
      </x:c>
      <x:c r="C94" s="32"/>
      <x:c r="D94" s="5"/>
      <x:c r="E94" s="5"/>
      <x:c r="F94" s="5"/>
      <x:c r="G94" s="5"/>
      <x:c r="H94" s="5"/>
      <x:c r="I94" s="5"/>
      <x:c r="J94" s="24" t="str">
        <x:f>IFERROR(VLOOKUP(H94,Dados!$D$2:$F$63,2,0),"ERRO: VERIFICAR COMO DIRETORIA/CANAL")</x:f>
      </x:c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</x:row>
    <x:row r="95" ht="46.5" customHeight="1">
      <x:c r="A95" s="22" t="str">
        <x:f>IFERROR(VLOOKUP(C95,Dados!$A$4:$D$15,3,0),0)</x:f>
      </x:c>
      <x:c r="B95" s="25" t="str">
        <x:f>IFERROR(VLOOKUP(C95,Dados!$A$4:$B$13,2,0),"")</x:f>
      </x:c>
      <x:c r="C95" s="32"/>
      <x:c r="D95" s="5"/>
      <x:c r="E95" s="5"/>
      <x:c r="F95" s="5"/>
      <x:c r="G95" s="5"/>
      <x:c r="H95" s="5"/>
      <x:c r="I95" s="5"/>
      <x:c r="J95" s="24" t="str">
        <x:f>IFERROR(VLOOKUP(H95,Dados!$D$2:$F$63,2,0),"ERRO: VERIFICAR COMO DIRETORIA/CANAL")</x:f>
      </x:c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</x:row>
    <x:row r="96" ht="46.5" customHeight="1">
      <x:c r="A96" s="22" t="str">
        <x:f>IFERROR(VLOOKUP(C96,Dados!$A$4:$D$15,3,0),0)</x:f>
      </x:c>
      <x:c r="B96" s="25" t="str">
        <x:f>IFERROR(VLOOKUP(C96,Dados!$A$4:$B$13,2,0),"")</x:f>
      </x:c>
      <x:c r="C96" s="32"/>
      <x:c r="D96" s="5"/>
      <x:c r="E96" s="5"/>
      <x:c r="F96" s="5"/>
      <x:c r="G96" s="5"/>
      <x:c r="H96" s="5"/>
      <x:c r="I96" s="5"/>
      <x:c r="J96" s="24" t="str">
        <x:f>IFERROR(VLOOKUP(H96,Dados!$D$2:$F$63,2,0),"ERRO: VERIFICAR COMO DIRETORIA/CANAL")</x:f>
      </x:c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</x:row>
    <x:row r="97" ht="46.5" customHeight="1">
      <x:c r="A97" s="22" t="str">
        <x:f>IFERROR(VLOOKUP(C97,Dados!$A$4:$D$15,3,0),0)</x:f>
      </x:c>
      <x:c r="B97" s="25" t="str">
        <x:f>IFERROR(VLOOKUP(C97,Dados!$A$4:$B$13,2,0),"")</x:f>
      </x:c>
      <x:c r="C97" s="32"/>
      <x:c r="D97" s="5"/>
      <x:c r="E97" s="5"/>
      <x:c r="F97" s="5"/>
      <x:c r="G97" s="5"/>
      <x:c r="H97" s="5"/>
      <x:c r="I97" s="5"/>
      <x:c r="J97" s="24" t="str">
        <x:f>IFERROR(VLOOKUP(H97,Dados!$D$2:$F$63,2,0),"ERRO: VERIFICAR COMO DIRETORIA/CANAL")</x:f>
      </x:c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</x:row>
    <x:row r="98" ht="46.5" customHeight="1">
      <x:c r="A98" s="22" t="str">
        <x:f>IFERROR(VLOOKUP(C98,Dados!$A$4:$D$15,3,0),0)</x:f>
      </x:c>
      <x:c r="B98" s="25" t="str">
        <x:f>IFERROR(VLOOKUP(C98,Dados!$A$4:$B$13,2,0),"")</x:f>
      </x:c>
      <x:c r="C98" s="32"/>
      <x:c r="D98" s="5"/>
      <x:c r="E98" s="5"/>
      <x:c r="F98" s="5"/>
      <x:c r="G98" s="5"/>
      <x:c r="H98" s="5"/>
      <x:c r="I98" s="5"/>
      <x:c r="J98" s="24" t="str">
        <x:f>IFERROR(VLOOKUP(H98,Dados!$D$2:$F$63,2,0),"ERRO: VERIFICAR COMO DIRETORIA/CANAL")</x:f>
      </x:c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</x:row>
    <x:row r="99" ht="46.5" customHeight="1">
      <x:c r="A99" s="22" t="str">
        <x:f>IFERROR(VLOOKUP(C99,Dados!$A$4:$D$15,3,0),0)</x:f>
      </x:c>
      <x:c r="B99" s="25" t="str">
        <x:f>IFERROR(VLOOKUP(C99,Dados!$A$4:$B$13,2,0),"")</x:f>
      </x:c>
      <x:c r="C99" s="32"/>
      <x:c r="D99" s="5"/>
      <x:c r="E99" s="5"/>
      <x:c r="F99" s="5"/>
      <x:c r="G99" s="5"/>
      <x:c r="H99" s="5"/>
      <x:c r="I99" s="5"/>
      <x:c r="J99" s="24" t="str">
        <x:f>IFERROR(VLOOKUP(H99,Dados!$D$2:$F$63,2,0),"ERRO: VERIFICAR COMO DIRETORIA/CANAL")</x:f>
      </x:c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</x:row>
    <x:row r="100" ht="46.5" customHeight="1">
      <x:c r="A100" s="22" t="str">
        <x:f>IFERROR(VLOOKUP(C100,Dados!$A$4:$D$15,3,0),0)</x:f>
      </x:c>
      <x:c r="B100" s="25" t="str">
        <x:f>IFERROR(VLOOKUP(C100,Dados!$A$4:$B$13,2,0),"")</x:f>
      </x:c>
      <x:c r="C100" s="32"/>
      <x:c r="D100" s="5"/>
      <x:c r="E100" s="5"/>
      <x:c r="F100" s="5"/>
      <x:c r="G100" s="5"/>
      <x:c r="H100" s="5"/>
      <x:c r="I100" s="5"/>
      <x:c r="J100" s="24" t="str">
        <x:f>IFERROR(VLOOKUP(H100,Dados!$D$2:$F$63,2,0),"ERRO: VERIFICAR COMO DIRETORIA/CANAL")</x:f>
      </x:c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</x:row>
    <x:row r="101" ht="46.5" customHeight="1">
      <x:c r="A101" s="22" t="str">
        <x:f>IFERROR(VLOOKUP(C101,Dados!$A$4:$D$15,3,0),0)</x:f>
      </x:c>
      <x:c r="B101" s="25" t="str">
        <x:f>IFERROR(VLOOKUP(C101,Dados!$A$4:$B$13,2,0),"")</x:f>
      </x:c>
      <x:c r="C101" s="32"/>
      <x:c r="D101" s="5"/>
      <x:c r="E101" s="5"/>
      <x:c r="F101" s="5"/>
      <x:c r="G101" s="5"/>
      <x:c r="H101" s="5"/>
      <x:c r="I101" s="5"/>
      <x:c r="J101" s="24" t="str">
        <x:f>IFERROR(VLOOKUP(H101,Dados!$D$2:$F$63,2,0),"ERRO: VERIFICAR COMO DIRETORIA/CANAL")</x:f>
      </x:c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</x:row>
    <x:row r="102" ht="46.5" customHeight="1">
      <x:c r="A102" s="22" t="str">
        <x:f>IFERROR(VLOOKUP(C102,Dados!$A$4:$D$15,3,0),0)</x:f>
      </x:c>
      <x:c r="B102" s="25" t="str">
        <x:f>IFERROR(VLOOKUP(C102,Dados!$A$4:$B$13,2,0),"")</x:f>
      </x:c>
      <x:c r="C102" s="32"/>
      <x:c r="D102" s="5"/>
      <x:c r="E102" s="5"/>
      <x:c r="F102" s="5"/>
      <x:c r="G102" s="5"/>
      <x:c r="H102" s="5"/>
      <x:c r="I102" s="5"/>
      <x:c r="J102" s="24" t="str">
        <x:f>IFERROR(VLOOKUP(H102,Dados!$D$2:$F$63,2,0),"ERRO: VERIFICAR COMO DIRETORIA/CANAL")</x:f>
      </x:c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</x:row>
    <x:row r="103" ht="46.5" customHeight="1">
      <x:c r="A103" s="22" t="str">
        <x:f>IFERROR(VLOOKUP(C103,Dados!$A$4:$D$15,3,0),0)</x:f>
      </x:c>
      <x:c r="B103" s="25" t="str">
        <x:f>IFERROR(VLOOKUP(C103,Dados!$A$4:$B$13,2,0),"")</x:f>
      </x:c>
      <x:c r="C103" s="32"/>
      <x:c r="D103" s="5"/>
      <x:c r="E103" s="5"/>
      <x:c r="F103" s="5"/>
      <x:c r="G103" s="5"/>
      <x:c r="H103" s="5"/>
      <x:c r="I103" s="5"/>
      <x:c r="J103" s="24" t="str">
        <x:f>IFERROR(VLOOKUP(H103,Dados!$D$2:$F$63,2,0),"ERRO: VERIFICAR COMO DIRETORIA/CANAL")</x:f>
      </x:c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</x:row>
    <x:row r="104" ht="46.5" customHeight="1">
      <x:c r="A104" s="22" t="str">
        <x:f>IFERROR(VLOOKUP(C104,Dados!$A$4:$D$15,3,0),0)</x:f>
      </x:c>
      <x:c r="B104" s="25" t="str">
        <x:f>IFERROR(VLOOKUP(C104,Dados!$A$4:$B$13,2,0),"")</x:f>
      </x:c>
      <x:c r="C104" s="32"/>
      <x:c r="D104" s="5"/>
      <x:c r="E104" s="5"/>
      <x:c r="F104" s="5"/>
      <x:c r="G104" s="5"/>
      <x:c r="H104" s="5"/>
      <x:c r="I104" s="5"/>
      <x:c r="J104" s="24" t="str">
        <x:f>IFERROR(VLOOKUP(H104,Dados!$D$2:$F$63,2,0),"ERRO: VERIFICAR COMO DIRETORIA/CANAL")</x:f>
      </x:c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</x:row>
    <x:row r="105" ht="46.5" customHeight="1">
      <x:c r="A105" s="22" t="str">
        <x:f>IFERROR(VLOOKUP(C105,Dados!$A$4:$D$15,3,0),0)</x:f>
      </x:c>
      <x:c r="B105" s="25" t="str">
        <x:f>IFERROR(VLOOKUP(C105,Dados!$A$4:$B$13,2,0),"")</x:f>
      </x:c>
      <x:c r="C105" s="32"/>
      <x:c r="D105" s="5"/>
      <x:c r="E105" s="5"/>
      <x:c r="F105" s="5"/>
      <x:c r="G105" s="5"/>
      <x:c r="H105" s="5"/>
      <x:c r="I105" s="5"/>
      <x:c r="J105" s="24" t="str">
        <x:f>IFERROR(VLOOKUP(H105,Dados!$D$2:$F$63,2,0),"ERRO: VERIFICAR COMO DIRETORIA/CANAL")</x:f>
      </x:c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</x:row>
    <x:row r="106" ht="46.5" customHeight="1">
      <x:c r="A106" s="22" t="str">
        <x:f>IFERROR(VLOOKUP(C106,Dados!$A$4:$D$15,3,0),0)</x:f>
      </x:c>
      <x:c r="B106" s="25" t="str">
        <x:f>IFERROR(VLOOKUP(C106,Dados!$A$4:$B$13,2,0),"")</x:f>
      </x:c>
      <x:c r="C106" s="32"/>
      <x:c r="D106" s="5"/>
      <x:c r="E106" s="5"/>
      <x:c r="F106" s="5"/>
      <x:c r="G106" s="5"/>
      <x:c r="H106" s="5"/>
      <x:c r="I106" s="5"/>
      <x:c r="J106" s="24" t="str">
        <x:f>IFERROR(VLOOKUP(H106,Dados!$D$2:$F$63,2,0),"ERRO: VERIFICAR COMO DIRETORIA/CANAL")</x:f>
      </x:c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</x:row>
    <x:row r="107" ht="46.5" customHeight="1">
      <x:c r="A107" s="22" t="str">
        <x:f>IFERROR(VLOOKUP(C107,Dados!$A$4:$D$15,3,0),0)</x:f>
      </x:c>
      <x:c r="B107" s="25" t="str">
        <x:f>IFERROR(VLOOKUP(C107,Dados!$A$4:$B$13,2,0),"")</x:f>
      </x:c>
      <x:c r="C107" s="32"/>
      <x:c r="D107" s="5"/>
      <x:c r="E107" s="5"/>
      <x:c r="F107" s="5"/>
      <x:c r="G107" s="5"/>
      <x:c r="H107" s="5"/>
      <x:c r="I107" s="5"/>
      <x:c r="J107" s="24" t="str">
        <x:f>IFERROR(VLOOKUP(H107,Dados!$D$2:$F$63,2,0),"ERRO: VERIFICAR COMO DIRETORIA/CANAL")</x:f>
      </x:c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</x:row>
    <x:row r="108" ht="46.5" customHeight="1">
      <x:c r="A108" s="22" t="str">
        <x:f>IFERROR(VLOOKUP(C108,Dados!$A$4:$D$15,3,0),0)</x:f>
      </x:c>
      <x:c r="B108" s="25" t="str">
        <x:f>IFERROR(VLOOKUP(C108,Dados!$A$4:$B$13,2,0),"")</x:f>
      </x:c>
      <x:c r="C108" s="32"/>
      <x:c r="D108" s="5"/>
      <x:c r="E108" s="5"/>
      <x:c r="F108" s="5"/>
      <x:c r="G108" s="5"/>
      <x:c r="H108" s="5"/>
      <x:c r="I108" s="5"/>
      <x:c r="J108" s="24" t="str">
        <x:f>IFERROR(VLOOKUP(H108,Dados!$D$2:$F$63,2,0),"ERRO: VERIFICAR COMO DIRETORIA/CANAL")</x:f>
      </x:c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</x:row>
    <x:row r="109" ht="46.5" customHeight="1">
      <x:c r="A109" s="22" t="str">
        <x:f>IFERROR(VLOOKUP(C109,Dados!$A$4:$D$15,3,0),0)</x:f>
      </x:c>
      <x:c r="B109" s="25" t="str">
        <x:f>IFERROR(VLOOKUP(C109,Dados!$A$4:$B$13,2,0),"")</x:f>
      </x:c>
      <x:c r="C109" s="32"/>
      <x:c r="D109" s="5"/>
      <x:c r="E109" s="5"/>
      <x:c r="F109" s="5"/>
      <x:c r="G109" s="5"/>
      <x:c r="H109" s="5"/>
      <x:c r="I109" s="5"/>
      <x:c r="J109" s="24" t="str">
        <x:f>IFERROR(VLOOKUP(H109,Dados!$D$2:$F$63,2,0),"ERRO: VERIFICAR COMO DIRETORIA/CANAL")</x:f>
      </x:c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</x:row>
    <x:row r="110" ht="46.5" customHeight="1">
      <x:c r="A110" s="22" t="str">
        <x:f>IFERROR(VLOOKUP(C110,Dados!$A$4:$D$15,3,0),0)</x:f>
      </x:c>
      <x:c r="B110" s="25" t="str">
        <x:f>IFERROR(VLOOKUP(C110,Dados!$A$4:$B$13,2,0),"")</x:f>
      </x:c>
      <x:c r="C110" s="32"/>
      <x:c r="D110" s="5"/>
      <x:c r="E110" s="5"/>
      <x:c r="F110" s="5"/>
      <x:c r="G110" s="5"/>
      <x:c r="H110" s="5"/>
      <x:c r="I110" s="5"/>
      <x:c r="J110" s="24" t="str">
        <x:f>IFERROR(VLOOKUP(H110,Dados!$D$2:$F$63,2,0),"ERRO: VERIFICAR COMO DIRETORIA/CANAL")</x:f>
      </x:c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</x:row>
    <x:row r="111" ht="46.5" customHeight="1">
      <x:c r="A111" s="22" t="str">
        <x:f>IFERROR(VLOOKUP(C111,Dados!$A$4:$D$15,3,0),0)</x:f>
      </x:c>
      <x:c r="B111" s="25" t="str">
        <x:f>IFERROR(VLOOKUP(C111,Dados!$A$4:$B$13,2,0),"")</x:f>
      </x:c>
      <x:c r="C111" s="32"/>
      <x:c r="D111" s="5"/>
      <x:c r="E111" s="5"/>
      <x:c r="F111" s="5"/>
      <x:c r="G111" s="5"/>
      <x:c r="H111" s="5"/>
      <x:c r="I111" s="5"/>
      <x:c r="J111" s="24" t="str">
        <x:f>IFERROR(VLOOKUP(H111,Dados!$D$2:$F$63,2,0),"ERRO: VERIFICAR COMO DIRETORIA/CANAL")</x:f>
      </x:c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</x:row>
    <x:row r="112" ht="46.5" customHeight="1">
      <x:c r="A112" s="22" t="str">
        <x:f>IFERROR(VLOOKUP(C112,Dados!$A$4:$D$15,3,0),0)</x:f>
      </x:c>
      <x:c r="B112" s="25" t="str">
        <x:f>IFERROR(VLOOKUP(C112,Dados!$A$4:$B$13,2,0),"")</x:f>
      </x:c>
      <x:c r="C112" s="32"/>
      <x:c r="D112" s="5"/>
      <x:c r="E112" s="5"/>
      <x:c r="F112" s="5"/>
      <x:c r="G112" s="5"/>
      <x:c r="H112" s="5"/>
      <x:c r="I112" s="5"/>
      <x:c r="J112" s="24" t="str">
        <x:f>IFERROR(VLOOKUP(H112,Dados!$D$2:$F$63,2,0),"ERRO: VERIFICAR COMO DIRETORIA/CANAL")</x:f>
      </x:c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</x:row>
    <x:row r="113" ht="46.5" customHeight="1">
      <x:c r="A113" s="22" t="str">
        <x:f>IFERROR(VLOOKUP(C113,Dados!$A$4:$D$15,3,0),0)</x:f>
      </x:c>
      <x:c r="B113" s="25" t="str">
        <x:f>IFERROR(VLOOKUP(C113,Dados!$A$4:$B$13,2,0),"")</x:f>
      </x:c>
      <x:c r="C113" s="32"/>
      <x:c r="D113" s="5"/>
      <x:c r="E113" s="5"/>
      <x:c r="F113" s="5"/>
      <x:c r="G113" s="5"/>
      <x:c r="H113" s="5"/>
      <x:c r="I113" s="5"/>
      <x:c r="J113" s="24" t="str">
        <x:f>IFERROR(VLOOKUP(H113,Dados!$D$2:$F$63,2,0),"ERRO: VERIFICAR COMO DIRETORIA/CANAL")</x:f>
      </x:c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</x:row>
    <x:row r="114" ht="46.5" customHeight="1">
      <x:c r="A114" s="22" t="str">
        <x:f>IFERROR(VLOOKUP(C114,Dados!$A$4:$D$15,3,0),0)</x:f>
      </x:c>
      <x:c r="B114" s="25" t="str">
        <x:f>IFERROR(VLOOKUP(C114,Dados!$A$4:$B$13,2,0),"")</x:f>
      </x:c>
      <x:c r="C114" s="32"/>
      <x:c r="D114" s="5"/>
      <x:c r="E114" s="5"/>
      <x:c r="F114" s="5"/>
      <x:c r="G114" s="5"/>
      <x:c r="H114" s="5"/>
      <x:c r="I114" s="5"/>
      <x:c r="J114" s="24" t="str">
        <x:f>IFERROR(VLOOKUP(H114,Dados!$D$2:$F$63,2,0),"ERRO: VERIFICAR COMO DIRETORIA/CANAL")</x:f>
      </x:c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</x:row>
    <x:row r="115" ht="46.5" customHeight="1">
      <x:c r="A115" s="22" t="str">
        <x:f>IFERROR(VLOOKUP(C115,Dados!$A$4:$D$15,3,0),0)</x:f>
      </x:c>
      <x:c r="B115" s="25" t="str">
        <x:f>IFERROR(VLOOKUP(C115,Dados!$A$4:$B$13,2,0),"")</x:f>
      </x:c>
      <x:c r="C115" s="32"/>
      <x:c r="D115" s="5"/>
      <x:c r="E115" s="5"/>
      <x:c r="F115" s="5"/>
      <x:c r="G115" s="5"/>
      <x:c r="H115" s="5"/>
      <x:c r="I115" s="5"/>
      <x:c r="J115" s="24" t="str">
        <x:f>IFERROR(VLOOKUP(H115,Dados!$D$2:$F$63,2,0),"ERRO: VERIFICAR COMO DIRETORIA/CANAL")</x:f>
      </x:c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</x:row>
    <x:row r="116" ht="46.5" customHeight="1">
      <x:c r="A116" s="22" t="str">
        <x:f>IFERROR(VLOOKUP(C116,Dados!$A$4:$D$15,3,0),0)</x:f>
      </x:c>
      <x:c r="B116" s="25" t="str">
        <x:f>IFERROR(VLOOKUP(C116,Dados!$A$4:$B$13,2,0),"")</x:f>
      </x:c>
      <x:c r="C116" s="32"/>
      <x:c r="D116" s="5"/>
      <x:c r="E116" s="5"/>
      <x:c r="F116" s="5"/>
      <x:c r="G116" s="5"/>
      <x:c r="H116" s="5"/>
      <x:c r="I116" s="5"/>
      <x:c r="J116" s="24" t="str">
        <x:f>IFERROR(VLOOKUP(H116,Dados!$D$2:$F$63,2,0),"ERRO: VERIFICAR COMO DIRETORIA/CANAL")</x:f>
      </x:c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</x:row>
    <x:row r="117" ht="46.5" customHeight="1">
      <x:c r="A117" s="22" t="str">
        <x:f>IFERROR(VLOOKUP(C117,Dados!$A$4:$D$15,3,0),0)</x:f>
      </x:c>
      <x:c r="B117" s="25" t="str">
        <x:f>IFERROR(VLOOKUP(C117,Dados!$A$4:$B$13,2,0),"")</x:f>
      </x:c>
      <x:c r="C117" s="32"/>
      <x:c r="D117" s="5"/>
      <x:c r="E117" s="5"/>
      <x:c r="F117" s="5"/>
      <x:c r="G117" s="5"/>
      <x:c r="H117" s="5"/>
      <x:c r="I117" s="5"/>
      <x:c r="J117" s="24" t="str">
        <x:f>IFERROR(VLOOKUP(H117,Dados!$D$2:$F$63,2,0),"ERRO: VERIFICAR COMO DIRETORIA/CANAL")</x:f>
      </x:c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</x:row>
    <x:row r="118" ht="46.5" customHeight="1">
      <x:c r="A118" s="22" t="str">
        <x:f>IFERROR(VLOOKUP(C118,Dados!$A$4:$D$15,3,0),0)</x:f>
      </x:c>
      <x:c r="B118" s="25" t="str">
        <x:f>IFERROR(VLOOKUP(C118,Dados!$A$4:$B$13,2,0),"")</x:f>
      </x:c>
      <x:c r="C118" s="32"/>
      <x:c r="D118" s="5"/>
      <x:c r="E118" s="5"/>
      <x:c r="F118" s="5"/>
      <x:c r="G118" s="5"/>
      <x:c r="H118" s="5"/>
      <x:c r="I118" s="5"/>
      <x:c r="J118" s="24" t="str">
        <x:f>IFERROR(VLOOKUP(H118,Dados!$D$2:$F$63,2,0),"ERRO: VERIFICAR COMO DIRETORIA/CANAL")</x:f>
      </x:c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</x:row>
    <x:row r="119" ht="46.5" customHeight="1">
      <x:c r="A119" s="22" t="str">
        <x:f>IFERROR(VLOOKUP(C119,Dados!$A$4:$D$15,3,0),0)</x:f>
      </x:c>
      <x:c r="B119" s="25" t="str">
        <x:f>IFERROR(VLOOKUP(C119,Dados!$A$4:$B$13,2,0),"")</x:f>
      </x:c>
      <x:c r="C119" s="32"/>
      <x:c r="D119" s="5"/>
      <x:c r="E119" s="5"/>
      <x:c r="F119" s="5"/>
      <x:c r="G119" s="5"/>
      <x:c r="H119" s="5"/>
      <x:c r="I119" s="5"/>
      <x:c r="J119" s="24" t="str">
        <x:f>IFERROR(VLOOKUP(H119,Dados!$D$2:$F$63,2,0),"ERRO: VERIFICAR COMO DIRETORIA/CANAL")</x:f>
      </x:c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</x:row>
    <x:row r="120" ht="46.5" customHeight="1">
      <x:c r="A120" s="22" t="str">
        <x:f>IFERROR(VLOOKUP(C120,Dados!$A$4:$D$15,3,0),0)</x:f>
      </x:c>
      <x:c r="B120" s="25" t="str">
        <x:f>IFERROR(VLOOKUP(C120,Dados!$A$4:$B$13,2,0),"")</x:f>
      </x:c>
      <x:c r="C120" s="32"/>
      <x:c r="D120" s="5"/>
      <x:c r="E120" s="5"/>
      <x:c r="F120" s="5"/>
      <x:c r="G120" s="5"/>
      <x:c r="H120" s="5"/>
      <x:c r="I120" s="5"/>
      <x:c r="J120" s="24" t="str">
        <x:f>IFERROR(VLOOKUP(H120,Dados!$D$2:$F$63,2,0),"ERRO: VERIFICAR COMO DIRETORIA/CANAL")</x:f>
      </x:c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</x:row>
    <x:row r="121" ht="46.5" customHeight="1">
      <x:c r="A121" s="22" t="str">
        <x:f>IFERROR(VLOOKUP(C121,Dados!$A$4:$D$15,3,0),0)</x:f>
      </x:c>
      <x:c r="B121" s="25" t="str">
        <x:f>IFERROR(VLOOKUP(C121,Dados!$A$4:$B$13,2,0),"")</x:f>
      </x:c>
      <x:c r="C121" s="32"/>
      <x:c r="D121" s="5"/>
      <x:c r="E121" s="5"/>
      <x:c r="F121" s="5"/>
      <x:c r="G121" s="5"/>
      <x:c r="H121" s="5"/>
      <x:c r="I121" s="5"/>
      <x:c r="J121" s="24" t="str">
        <x:f>IFERROR(VLOOKUP(H121,Dados!$D$2:$F$63,2,0),"ERRO: VERIFICAR COMO DIRETORIA/CANAL")</x:f>
      </x:c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</x:row>
    <x:row r="122" ht="46.5" customHeight="1">
      <x:c r="A122" s="22" t="str">
        <x:f>IFERROR(VLOOKUP(C122,Dados!$A$4:$D$15,3,0),0)</x:f>
      </x:c>
      <x:c r="B122" s="25" t="str">
        <x:f>IFERROR(VLOOKUP(C122,Dados!$A$4:$B$13,2,0),"")</x:f>
      </x:c>
      <x:c r="C122" s="32"/>
      <x:c r="D122" s="5"/>
      <x:c r="E122" s="5"/>
      <x:c r="F122" s="5"/>
      <x:c r="G122" s="5"/>
      <x:c r="H122" s="5"/>
      <x:c r="I122" s="5"/>
      <x:c r="J122" s="24" t="str">
        <x:f>IFERROR(VLOOKUP(H122,Dados!$D$2:$F$63,2,0),"ERRO: VERIFICAR COMO DIRETORIA/CANAL")</x:f>
      </x:c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</x:row>
    <x:row r="123" ht="46.5" customHeight="1">
      <x:c r="A123" s="22" t="str">
        <x:f>IFERROR(VLOOKUP(C123,Dados!$A$4:$D$15,3,0),0)</x:f>
      </x:c>
      <x:c r="B123" s="25" t="str">
        <x:f>IFERROR(VLOOKUP(C123,Dados!$A$4:$B$13,2,0),"")</x:f>
      </x:c>
      <x:c r="C123" s="32"/>
      <x:c r="D123" s="5"/>
      <x:c r="E123" s="5"/>
      <x:c r="F123" s="5"/>
      <x:c r="G123" s="5"/>
      <x:c r="H123" s="5"/>
      <x:c r="I123" s="5"/>
      <x:c r="J123" s="24" t="str">
        <x:f>IFERROR(VLOOKUP(H123,Dados!$D$2:$F$63,2,0),"ERRO: VERIFICAR COMO DIRETORIA/CANAL")</x:f>
      </x:c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</x:row>
    <x:row r="124" ht="46.5" customHeight="1">
      <x:c r="A124" s="22" t="str">
        <x:f>IFERROR(VLOOKUP(C124,Dados!$A$4:$D$15,3,0),0)</x:f>
      </x:c>
      <x:c r="B124" s="25" t="str">
        <x:f>IFERROR(VLOOKUP(C124,Dados!$A$4:$B$13,2,0),"")</x:f>
      </x:c>
      <x:c r="C124" s="32"/>
      <x:c r="D124" s="5"/>
      <x:c r="E124" s="5"/>
      <x:c r="F124" s="5"/>
      <x:c r="G124" s="5"/>
      <x:c r="H124" s="5"/>
      <x:c r="I124" s="5"/>
      <x:c r="J124" s="24" t="str">
        <x:f>IFERROR(VLOOKUP(H124,Dados!$D$2:$F$63,2,0),"ERRO: VERIFICAR COMO DIRETORIA/CANAL")</x:f>
      </x:c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</x:row>
    <x:row r="125" ht="46.5" customHeight="1">
      <x:c r="A125" s="22" t="str">
        <x:f>IFERROR(VLOOKUP(C125,Dados!$A$4:$D$15,3,0),0)</x:f>
      </x:c>
      <x:c r="B125" s="25" t="str">
        <x:f>IFERROR(VLOOKUP(C125,Dados!$A$4:$B$13,2,0),"")</x:f>
      </x:c>
      <x:c r="C125" s="32"/>
      <x:c r="D125" s="5"/>
      <x:c r="E125" s="5"/>
      <x:c r="F125" s="5"/>
      <x:c r="G125" s="5"/>
      <x:c r="H125" s="5"/>
      <x:c r="I125" s="5"/>
      <x:c r="J125" s="24" t="str">
        <x:f>IFERROR(VLOOKUP(H125,Dados!$D$2:$F$63,2,0),"ERRO: VERIFICAR COMO DIRETORIA/CANAL")</x:f>
      </x:c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</x:row>
    <x:row r="126" ht="46.5" customHeight="1">
      <x:c r="A126" s="22" t="str">
        <x:f>IFERROR(VLOOKUP(C126,Dados!$A$4:$D$15,3,0),0)</x:f>
      </x:c>
      <x:c r="B126" s="25" t="str">
        <x:f>IFERROR(VLOOKUP(C126,Dados!$A$4:$B$13,2,0),"")</x:f>
      </x:c>
      <x:c r="C126" s="32"/>
      <x:c r="D126" s="5"/>
      <x:c r="E126" s="5"/>
      <x:c r="F126" s="5"/>
      <x:c r="G126" s="5"/>
      <x:c r="H126" s="5"/>
      <x:c r="I126" s="5"/>
      <x:c r="J126" s="24" t="str">
        <x:f>IFERROR(VLOOKUP(H126,Dados!$D$2:$F$63,2,0),"ERRO: VERIFICAR COMO DIRETORIA/CANAL")</x:f>
      </x:c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</x:row>
    <x:row r="127" ht="46.5" customHeight="1">
      <x:c r="A127" s="22" t="str">
        <x:f>IFERROR(VLOOKUP(C127,Dados!$A$4:$D$15,3,0),0)</x:f>
      </x:c>
      <x:c r="B127" s="25" t="str">
        <x:f>IFERROR(VLOOKUP(C127,Dados!$A$4:$B$13,2,0),"")</x:f>
      </x:c>
      <x:c r="C127" s="32"/>
      <x:c r="D127" s="5"/>
      <x:c r="E127" s="5"/>
      <x:c r="F127" s="5"/>
      <x:c r="G127" s="5"/>
      <x:c r="H127" s="5"/>
      <x:c r="I127" s="5"/>
      <x:c r="J127" s="24" t="str">
        <x:f>IFERROR(VLOOKUP(H127,Dados!$D$2:$F$63,2,0),"ERRO: VERIFICAR COMO DIRETORIA/CANAL")</x:f>
      </x:c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</x:row>
    <x:row r="128" ht="46.5" customHeight="1">
      <x:c r="A128" s="22" t="str">
        <x:f>IFERROR(VLOOKUP(C128,Dados!$A$4:$D$15,3,0),0)</x:f>
      </x:c>
      <x:c r="B128" s="25" t="str">
        <x:f>IFERROR(VLOOKUP(C128,Dados!$A$4:$B$13,2,0),"")</x:f>
      </x:c>
      <x:c r="C128" s="32"/>
      <x:c r="D128" s="5"/>
      <x:c r="E128" s="5"/>
      <x:c r="F128" s="5"/>
      <x:c r="G128" s="5"/>
      <x:c r="H128" s="5"/>
      <x:c r="I128" s="5"/>
      <x:c r="J128" s="24" t="str">
        <x:f>IFERROR(VLOOKUP(H128,Dados!$D$2:$F$63,2,0),"ERRO: VERIFICAR COMO DIRETORIA/CANAL")</x:f>
      </x:c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</x:row>
    <x:row r="129" ht="46.5" customHeight="1">
      <x:c r="A129" s="22" t="str">
        <x:f>IFERROR(VLOOKUP(C129,Dados!$A$4:$D$15,3,0),0)</x:f>
      </x:c>
      <x:c r="B129" s="25" t="str">
        <x:f>IFERROR(VLOOKUP(C129,Dados!$A$4:$B$13,2,0),"")</x:f>
      </x:c>
      <x:c r="C129" s="32"/>
      <x:c r="D129" s="5"/>
      <x:c r="E129" s="5"/>
      <x:c r="F129" s="5"/>
      <x:c r="G129" s="5"/>
      <x:c r="H129" s="5"/>
      <x:c r="I129" s="5"/>
      <x:c r="J129" s="24" t="str">
        <x:f>IFERROR(VLOOKUP(H129,Dados!$D$2:$F$63,2,0),"ERRO: VERIFICAR COMO DIRETORIA/CANAL")</x:f>
      </x:c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</x:row>
    <x:row r="130" ht="46.5" customHeight="1">
      <x:c r="A130" s="22" t="str">
        <x:f>IFERROR(VLOOKUP(C130,Dados!$A$4:$D$15,3,0),0)</x:f>
      </x:c>
      <x:c r="B130" s="25" t="str">
        <x:f>IFERROR(VLOOKUP(C130,Dados!$A$4:$B$13,2,0),"")</x:f>
      </x:c>
      <x:c r="C130" s="32"/>
      <x:c r="D130" s="5"/>
      <x:c r="E130" s="5"/>
      <x:c r="F130" s="5"/>
      <x:c r="G130" s="5"/>
      <x:c r="H130" s="5"/>
      <x:c r="I130" s="5"/>
      <x:c r="J130" s="24" t="str">
        <x:f>IFERROR(VLOOKUP(H130,Dados!$D$2:$F$63,2,0),"ERRO: VERIFICAR COMO DIRETORIA/CANAL")</x:f>
      </x:c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</x:row>
    <x:row r="131" ht="46.5" customHeight="1">
      <x:c r="A131" s="22" t="str">
        <x:f>IFERROR(VLOOKUP(C131,Dados!$A$4:$D$15,3,0),0)</x:f>
      </x:c>
      <x:c r="B131" s="25" t="str">
        <x:f>IFERROR(VLOOKUP(C131,Dados!$A$4:$B$13,2,0),"")</x:f>
      </x:c>
      <x:c r="C131" s="32"/>
      <x:c r="D131" s="5"/>
      <x:c r="E131" s="5"/>
      <x:c r="F131" s="5"/>
      <x:c r="G131" s="5"/>
      <x:c r="H131" s="5"/>
      <x:c r="I131" s="5"/>
      <x:c r="J131" s="24" t="str">
        <x:f>IFERROR(VLOOKUP(H131,Dados!$D$2:$F$63,2,0),"ERRO: VERIFICAR COMO DIRETORIA/CANAL")</x:f>
      </x:c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</x:row>
    <x:row r="132" ht="46.5" customHeight="1">
      <x:c r="A132" s="22" t="str">
        <x:f>IFERROR(VLOOKUP(C132,Dados!$A$4:$D$15,3,0),0)</x:f>
      </x:c>
      <x:c r="B132" s="25" t="str">
        <x:f>IFERROR(VLOOKUP(C132,Dados!$A$4:$B$13,2,0),"")</x:f>
      </x:c>
      <x:c r="C132" s="32"/>
      <x:c r="D132" s="5"/>
      <x:c r="E132" s="5"/>
      <x:c r="F132" s="5"/>
      <x:c r="G132" s="5"/>
      <x:c r="H132" s="5"/>
      <x:c r="I132" s="5"/>
      <x:c r="J132" s="24" t="str">
        <x:f>IFERROR(VLOOKUP(H132,Dados!$D$2:$F$63,2,0),"ERRO: VERIFICAR COMO DIRETORIA/CANAL")</x:f>
      </x:c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</x:row>
    <x:row r="133" ht="46.5" customHeight="1">
      <x:c r="A133" s="22" t="str">
        <x:f>IFERROR(VLOOKUP(C133,Dados!$A$4:$D$15,3,0),0)</x:f>
      </x:c>
      <x:c r="B133" s="25" t="str">
        <x:f>IFERROR(VLOOKUP(C133,Dados!$A$4:$B$13,2,0),"")</x:f>
      </x:c>
      <x:c r="C133" s="32"/>
      <x:c r="D133" s="5"/>
      <x:c r="E133" s="5"/>
      <x:c r="F133" s="5"/>
      <x:c r="G133" s="5"/>
      <x:c r="H133" s="5"/>
      <x:c r="I133" s="5"/>
      <x:c r="J133" s="24" t="str">
        <x:f>IFERROR(VLOOKUP(H133,Dados!$D$2:$F$63,2,0),"ERRO: VERIFICAR COMO DIRETORIA/CANAL")</x:f>
      </x:c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</x:row>
    <x:row r="134" ht="46.5" customHeight="1">
      <x:c r="A134" s="22" t="str">
        <x:f>IFERROR(VLOOKUP(C134,Dados!$A$4:$D$15,3,0),0)</x:f>
      </x:c>
      <x:c r="B134" s="25" t="str">
        <x:f>IFERROR(VLOOKUP(C134,Dados!$A$4:$B$13,2,0),"")</x:f>
      </x:c>
      <x:c r="C134" s="32"/>
      <x:c r="D134" s="5"/>
      <x:c r="E134" s="5"/>
      <x:c r="F134" s="5"/>
      <x:c r="G134" s="5"/>
      <x:c r="H134" s="5"/>
      <x:c r="I134" s="5"/>
      <x:c r="J134" s="24" t="str">
        <x:f>IFERROR(VLOOKUP(H134,Dados!$D$2:$F$63,2,0),"ERRO: VERIFICAR COMO DIRETORIA/CANAL")</x:f>
      </x:c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</x:row>
    <x:row r="135" ht="46.5" customHeight="1">
      <x:c r="A135" s="22" t="str">
        <x:f>IFERROR(VLOOKUP(C135,Dados!$A$4:$D$15,3,0),0)</x:f>
      </x:c>
      <x:c r="B135" s="25" t="str">
        <x:f>IFERROR(VLOOKUP(C135,Dados!$A$4:$B$13,2,0),"")</x:f>
      </x:c>
      <x:c r="C135" s="32"/>
      <x:c r="D135" s="5"/>
      <x:c r="E135" s="5"/>
      <x:c r="F135" s="5"/>
      <x:c r="G135" s="5"/>
      <x:c r="H135" s="5"/>
      <x:c r="I135" s="5"/>
      <x:c r="J135" s="24" t="str">
        <x:f>IFERROR(VLOOKUP(H135,Dados!$D$2:$F$63,2,0),"ERRO: VERIFICAR COMO DIRETORIA/CANAL")</x:f>
      </x:c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</x:row>
    <x:row r="136" ht="46.5" customHeight="1">
      <x:c r="A136" s="22" t="str">
        <x:f>IFERROR(VLOOKUP(C136,Dados!$A$4:$D$15,3,0),0)</x:f>
      </x:c>
      <x:c r="B136" s="25" t="str">
        <x:f>IFERROR(VLOOKUP(C136,Dados!$A$4:$B$13,2,0),"")</x:f>
      </x:c>
      <x:c r="C136" s="32"/>
      <x:c r="D136" s="5"/>
      <x:c r="E136" s="5"/>
      <x:c r="F136" s="5"/>
      <x:c r="G136" s="5"/>
      <x:c r="H136" s="5"/>
      <x:c r="I136" s="5"/>
      <x:c r="J136" s="24" t="str">
        <x:f>IFERROR(VLOOKUP(H136,Dados!$D$2:$F$63,2,0),"ERRO: VERIFICAR COMO DIRETORIA/CANAL")</x:f>
      </x:c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</x:row>
    <x:row r="137" ht="46.5" customHeight="1">
      <x:c r="A137" s="22" t="str">
        <x:f>IFERROR(VLOOKUP(C137,Dados!$A$4:$D$15,3,0),0)</x:f>
      </x:c>
      <x:c r="B137" s="25" t="str">
        <x:f>IFERROR(VLOOKUP(C137,Dados!$A$4:$B$13,2,0),"")</x:f>
      </x:c>
      <x:c r="C137" s="32"/>
      <x:c r="D137" s="5"/>
      <x:c r="E137" s="5"/>
      <x:c r="F137" s="5"/>
      <x:c r="G137" s="5"/>
      <x:c r="H137" s="5"/>
      <x:c r="I137" s="5"/>
      <x:c r="J137" s="24" t="str">
        <x:f>IFERROR(VLOOKUP(H137,Dados!$D$2:$F$63,2,0),"ERRO: VERIFICAR COMO DIRETORIA/CANAL")</x:f>
      </x:c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</x:row>
    <x:row r="138" ht="46.5" customHeight="1">
      <x:c r="A138" s="22" t="str">
        <x:f>IFERROR(VLOOKUP(C138,Dados!$A$4:$D$15,3,0),0)</x:f>
      </x:c>
      <x:c r="B138" s="25" t="str">
        <x:f>IFERROR(VLOOKUP(C138,Dados!$A$4:$B$13,2,0),"")</x:f>
      </x:c>
      <x:c r="C138" s="32"/>
      <x:c r="D138" s="5"/>
      <x:c r="E138" s="5"/>
      <x:c r="F138" s="5"/>
      <x:c r="G138" s="5"/>
      <x:c r="H138" s="5"/>
      <x:c r="I138" s="5"/>
      <x:c r="J138" s="24" t="str">
        <x:f>IFERROR(VLOOKUP(H138,Dados!$D$2:$F$63,2,0),"ERRO: VERIFICAR COMO DIRETORIA/CANAL")</x:f>
      </x:c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</x:row>
    <x:row r="139" ht="46.5" customHeight="1">
      <x:c r="A139" s="22" t="str">
        <x:f>IFERROR(VLOOKUP(C139,Dados!$A$4:$D$15,3,0),0)</x:f>
      </x:c>
      <x:c r="B139" s="25" t="str">
        <x:f>IFERROR(VLOOKUP(C139,Dados!$A$4:$B$13,2,0),"")</x:f>
      </x:c>
      <x:c r="C139" s="32"/>
      <x:c r="D139" s="5"/>
      <x:c r="E139" s="5"/>
      <x:c r="F139" s="5"/>
      <x:c r="G139" s="5"/>
      <x:c r="H139" s="5"/>
      <x:c r="I139" s="5"/>
      <x:c r="J139" s="24" t="str">
        <x:f>IFERROR(VLOOKUP(H139,Dados!$D$2:$F$63,2,0),"ERRO: VERIFICAR COMO DIRETORIA/CANAL")</x:f>
      </x:c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</x:row>
    <x:row r="140" ht="46.5" customHeight="1">
      <x:c r="A140" s="22" t="str">
        <x:f>IFERROR(VLOOKUP(C140,Dados!$A$4:$D$15,3,0),0)</x:f>
      </x:c>
      <x:c r="B140" s="25" t="str">
        <x:f>IFERROR(VLOOKUP(C140,Dados!$A$4:$B$13,2,0),"")</x:f>
      </x:c>
      <x:c r="C140" s="32"/>
      <x:c r="D140" s="5"/>
      <x:c r="E140" s="5"/>
      <x:c r="F140" s="5"/>
      <x:c r="G140" s="5"/>
      <x:c r="H140" s="5"/>
      <x:c r="I140" s="5"/>
      <x:c r="J140" s="24" t="str">
        <x:f>IFERROR(VLOOKUP(H140,Dados!$D$2:$F$63,2,0),"ERRO: VERIFICAR COMO DIRETORIA/CANAL")</x:f>
      </x:c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</x:row>
    <x:row r="141" ht="46.5" customHeight="1">
      <x:c r="A141" s="22" t="str">
        <x:f>IFERROR(VLOOKUP(C141,Dados!$A$4:$D$15,3,0),0)</x:f>
      </x:c>
      <x:c r="B141" s="25" t="str">
        <x:f>IFERROR(VLOOKUP(C141,Dados!$A$4:$B$13,2,0),"")</x:f>
      </x:c>
      <x:c r="C141" s="32"/>
      <x:c r="D141" s="5"/>
      <x:c r="E141" s="5"/>
      <x:c r="F141" s="5"/>
      <x:c r="G141" s="5"/>
      <x:c r="H141" s="5"/>
      <x:c r="I141" s="5"/>
      <x:c r="J141" s="24" t="str">
        <x:f>IFERROR(VLOOKUP(H141,Dados!$D$2:$F$63,2,0),"ERRO: VERIFICAR COMO DIRETORIA/CANAL")</x:f>
      </x:c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</x:row>
    <x:row r="142" ht="46.5" customHeight="1">
      <x:c r="A142" s="22" t="str">
        <x:f>IFERROR(VLOOKUP(C142,Dados!$A$4:$D$15,3,0),0)</x:f>
      </x:c>
      <x:c r="B142" s="25" t="str">
        <x:f>IFERROR(VLOOKUP(C142,Dados!$A$4:$B$13,2,0),"")</x:f>
      </x:c>
      <x:c r="C142" s="32"/>
      <x:c r="D142" s="5"/>
      <x:c r="E142" s="5"/>
      <x:c r="F142" s="5"/>
      <x:c r="G142" s="5"/>
      <x:c r="H142" s="5"/>
      <x:c r="I142" s="5"/>
      <x:c r="J142" s="24" t="str">
        <x:f>IFERROR(VLOOKUP(H142,Dados!$D$2:$F$63,2,0),"ERRO: VERIFICAR COMO DIRETORIA/CANAL")</x:f>
      </x:c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</x:row>
    <x:row r="143" ht="46.5" customHeight="1">
      <x:c r="A143" s="22" t="str">
        <x:f>IFERROR(VLOOKUP(C143,Dados!$A$4:$D$15,3,0),0)</x:f>
      </x:c>
      <x:c r="B143" s="25" t="str">
        <x:f>IFERROR(VLOOKUP(C143,Dados!$A$4:$B$13,2,0),"")</x:f>
      </x:c>
      <x:c r="C143" s="32"/>
      <x:c r="D143" s="5"/>
      <x:c r="E143" s="5"/>
      <x:c r="F143" s="5"/>
      <x:c r="G143" s="5"/>
      <x:c r="H143" s="5"/>
      <x:c r="I143" s="5"/>
      <x:c r="J143" s="24" t="str">
        <x:f>IFERROR(VLOOKUP(H143,Dados!$D$2:$F$63,2,0),"ERRO: VERIFICAR COMO DIRETORIA/CANAL")</x:f>
      </x:c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</x:row>
    <x:row r="144" ht="46.5" customHeight="1">
      <x:c r="A144" s="22" t="str">
        <x:f>IFERROR(VLOOKUP(C144,Dados!$A$4:$D$15,3,0),0)</x:f>
      </x:c>
      <x:c r="B144" s="25" t="str">
        <x:f>IFERROR(VLOOKUP(C144,Dados!$A$4:$B$13,2,0),"")</x:f>
      </x:c>
      <x:c r="C144" s="32"/>
      <x:c r="D144" s="5"/>
      <x:c r="E144" s="5"/>
      <x:c r="F144" s="5"/>
      <x:c r="G144" s="5"/>
      <x:c r="H144" s="5"/>
      <x:c r="I144" s="5"/>
      <x:c r="J144" s="24" t="str">
        <x:f>IFERROR(VLOOKUP(H144,Dados!$D$2:$F$63,2,0),"ERRO: VERIFICAR COMO DIRETORIA/CANAL")</x:f>
      </x:c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</x:row>
    <x:row r="145" ht="46.5" customHeight="1">
      <x:c r="A145" s="22" t="str">
        <x:f>IFERROR(VLOOKUP(C145,Dados!$A$4:$D$15,3,0),0)</x:f>
      </x:c>
      <x:c r="B145" s="25" t="str">
        <x:f>IFERROR(VLOOKUP(C145,Dados!$A$4:$B$13,2,0),"")</x:f>
      </x:c>
      <x:c r="C145" s="32"/>
      <x:c r="D145" s="5"/>
      <x:c r="E145" s="5"/>
      <x:c r="F145" s="5"/>
      <x:c r="G145" s="5"/>
      <x:c r="H145" s="5"/>
      <x:c r="I145" s="5"/>
      <x:c r="J145" s="24" t="str">
        <x:f>IFERROR(VLOOKUP(H145,Dados!$D$2:$F$63,2,0),"ERRO: VERIFICAR COMO DIRETORIA/CANAL")</x:f>
      </x:c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</x:row>
    <x:row r="146" ht="46.5" customHeight="1">
      <x:c r="A146" s="22" t="str">
        <x:f>IFERROR(VLOOKUP(C146,Dados!$A$4:$D$15,3,0),0)</x:f>
      </x:c>
      <x:c r="B146" s="25" t="str">
        <x:f>IFERROR(VLOOKUP(C146,Dados!$A$4:$B$13,2,0),"")</x:f>
      </x:c>
      <x:c r="C146" s="32"/>
      <x:c r="D146" s="5"/>
      <x:c r="E146" s="5"/>
      <x:c r="F146" s="5"/>
      <x:c r="G146" s="5"/>
      <x:c r="H146" s="5"/>
      <x:c r="I146" s="5"/>
      <x:c r="J146" s="24" t="str">
        <x:f>IFERROR(VLOOKUP(H146,Dados!$D$2:$F$63,2,0),"ERRO: VERIFICAR COMO DIRETORIA/CANAL")</x:f>
      </x:c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</x:row>
    <x:row r="147" ht="46.5" customHeight="1">
      <x:c r="A147" s="22" t="str">
        <x:f>IFERROR(VLOOKUP(C147,Dados!$A$4:$D$15,3,0),0)</x:f>
      </x:c>
      <x:c r="B147" s="25" t="str">
        <x:f>IFERROR(VLOOKUP(C147,Dados!$A$4:$B$13,2,0),"")</x:f>
      </x:c>
      <x:c r="C147" s="32"/>
      <x:c r="D147" s="5"/>
      <x:c r="E147" s="5"/>
      <x:c r="F147" s="5"/>
      <x:c r="G147" s="5"/>
      <x:c r="H147" s="5"/>
      <x:c r="I147" s="5"/>
      <x:c r="J147" s="24" t="str">
        <x:f>IFERROR(VLOOKUP(H147,Dados!$D$2:$F$63,2,0),"ERRO: VERIFICAR COMO DIRETORIA/CANAL")</x:f>
      </x:c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</x:row>
    <x:row r="148" ht="46.5" customHeight="1">
      <x:c r="A148" s="22" t="str">
        <x:f>IFERROR(VLOOKUP(C148,Dados!$A$4:$D$15,3,0),0)</x:f>
      </x:c>
      <x:c r="B148" s="25" t="str">
        <x:f>IFERROR(VLOOKUP(C148,Dados!$A$4:$B$13,2,0),"")</x:f>
      </x:c>
      <x:c r="C148" s="32"/>
      <x:c r="D148" s="5"/>
      <x:c r="E148" s="5"/>
      <x:c r="F148" s="5"/>
      <x:c r="G148" s="5"/>
      <x:c r="H148" s="5"/>
      <x:c r="I148" s="5"/>
      <x:c r="J148" s="24" t="str">
        <x:f>IFERROR(VLOOKUP(H148,Dados!$D$2:$F$63,2,0),"ERRO: VERIFICAR COMO DIRETORIA/CANAL")</x:f>
      </x:c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</x:row>
    <x:row r="149" ht="46.5" customHeight="1">
      <x:c r="A149" s="22" t="str">
        <x:f>IFERROR(VLOOKUP(C149,Dados!$A$4:$D$15,3,0),0)</x:f>
      </x:c>
      <x:c r="B149" s="25" t="str">
        <x:f>IFERROR(VLOOKUP(C149,Dados!$A$4:$B$13,2,0),"")</x:f>
      </x:c>
      <x:c r="C149" s="32"/>
      <x:c r="D149" s="5"/>
      <x:c r="E149" s="5"/>
      <x:c r="F149" s="5"/>
      <x:c r="G149" s="5"/>
      <x:c r="H149" s="5"/>
      <x:c r="I149" s="5"/>
      <x:c r="J149" s="24" t="str">
        <x:f>IFERROR(VLOOKUP(H149,Dados!$D$2:$F$63,2,0),"ERRO: VERIFICAR COMO DIRETORIA/CANAL")</x:f>
      </x:c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</x:row>
    <x:row r="150" ht="46.5" customHeight="1">
      <x:c r="A150" s="22" t="str">
        <x:f>IFERROR(VLOOKUP(C150,Dados!$A$4:$D$15,3,0),0)</x:f>
      </x:c>
      <x:c r="B150" s="25" t="str">
        <x:f>IFERROR(VLOOKUP(C150,Dados!$A$4:$B$13,2,0),"")</x:f>
      </x:c>
      <x:c r="C150" s="32"/>
      <x:c r="D150" s="5"/>
      <x:c r="E150" s="5"/>
      <x:c r="F150" s="5"/>
      <x:c r="G150" s="5"/>
      <x:c r="H150" s="5"/>
      <x:c r="I150" s="5"/>
      <x:c r="J150" s="24" t="str">
        <x:f>IFERROR(VLOOKUP(H150,Dados!$D$2:$F$63,2,0),"ERRO: VERIFICAR COMO DIRETORIA/CANAL")</x:f>
      </x:c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</x:row>
    <x:row r="151" ht="46.5" customHeight="1">
      <x:c r="A151" s="22" t="str">
        <x:f>IFERROR(VLOOKUP(C151,Dados!$A$4:$D$15,3,0),0)</x:f>
      </x:c>
      <x:c r="B151" s="25" t="str">
        <x:f>IFERROR(VLOOKUP(C151,Dados!$A$4:$B$13,2,0),"")</x:f>
      </x:c>
      <x:c r="C151" s="32"/>
      <x:c r="D151" s="5"/>
      <x:c r="E151" s="5"/>
      <x:c r="F151" s="5"/>
      <x:c r="G151" s="5"/>
      <x:c r="H151" s="5"/>
      <x:c r="I151" s="5"/>
      <x:c r="J151" s="24" t="str">
        <x:f>IFERROR(VLOOKUP(H151,Dados!$D$2:$F$63,2,0),"ERRO: VERIFICAR COMO DIRETORIA/CANAL")</x:f>
      </x:c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</x:row>
    <x:row r="152" ht="46.5" customHeight="1">
      <x:c r="A152" s="22" t="str">
        <x:f>IFERROR(VLOOKUP(C152,Dados!$A$4:$D$15,3,0),0)</x:f>
      </x:c>
      <x:c r="B152" s="25" t="str">
        <x:f>IFERROR(VLOOKUP(C152,Dados!$A$4:$B$13,2,0),"")</x:f>
      </x:c>
      <x:c r="C152" s="32"/>
      <x:c r="D152" s="5"/>
      <x:c r="E152" s="5"/>
      <x:c r="F152" s="5"/>
      <x:c r="G152" s="5"/>
      <x:c r="H152" s="5"/>
      <x:c r="I152" s="5"/>
      <x:c r="J152" s="24" t="str">
        <x:f>IFERROR(VLOOKUP(H152,Dados!$D$2:$F$63,2,0),"ERRO: VERIFICAR COMO DIRETORIA/CANAL")</x:f>
      </x:c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</x:row>
    <x:row r="153" ht="46.5" customHeight="1">
      <x:c r="A153" s="22" t="str">
        <x:f>IFERROR(VLOOKUP(C153,Dados!$A$4:$D$15,3,0),0)</x:f>
      </x:c>
      <x:c r="B153" s="25" t="str">
        <x:f>IFERROR(VLOOKUP(C153,Dados!$A$4:$B$13,2,0),"")</x:f>
      </x:c>
      <x:c r="C153" s="32"/>
      <x:c r="D153" s="5"/>
      <x:c r="E153" s="5"/>
      <x:c r="F153" s="5"/>
      <x:c r="G153" s="5"/>
      <x:c r="H153" s="5"/>
      <x:c r="I153" s="5"/>
      <x:c r="J153" s="24" t="str">
        <x:f>IFERROR(VLOOKUP(H153,Dados!$D$2:$F$63,2,0),"ERRO: VERIFICAR COMO DIRETORIA/CANAL")</x:f>
      </x:c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</x:row>
    <x:row r="154" ht="46.5" customHeight="1">
      <x:c r="A154" s="22" t="str">
        <x:f>IFERROR(VLOOKUP(C154,Dados!$A$4:$D$15,3,0),0)</x:f>
      </x:c>
      <x:c r="B154" s="25" t="str">
        <x:f>IFERROR(VLOOKUP(C154,Dados!$A$4:$B$13,2,0),"")</x:f>
      </x:c>
      <x:c r="C154" s="32"/>
      <x:c r="D154" s="5"/>
      <x:c r="E154" s="5"/>
      <x:c r="F154" s="5"/>
      <x:c r="G154" s="5"/>
      <x:c r="H154" s="5"/>
      <x:c r="I154" s="5"/>
      <x:c r="J154" s="24" t="str">
        <x:f>IFERROR(VLOOKUP(H154,Dados!$D$2:$F$63,2,0),"ERRO: VERIFICAR COMO DIRETORIA/CANAL")</x:f>
      </x:c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</x:row>
    <x:row r="155" ht="46.5" customHeight="1">
      <x:c r="A155" s="22" t="str">
        <x:f>IFERROR(VLOOKUP(C155,Dados!$A$4:$D$15,3,0),0)</x:f>
      </x:c>
      <x:c r="B155" s="25" t="str">
        <x:f>IFERROR(VLOOKUP(C155,Dados!$A$4:$B$13,2,0),"")</x:f>
      </x:c>
      <x:c r="C155" s="32"/>
      <x:c r="D155" s="5"/>
      <x:c r="E155" s="5"/>
      <x:c r="F155" s="5"/>
      <x:c r="G155" s="5"/>
      <x:c r="H155" s="5"/>
      <x:c r="I155" s="5"/>
      <x:c r="J155" s="24" t="str">
        <x:f>IFERROR(VLOOKUP(H155,Dados!$D$2:$F$63,2,0),"ERRO: VERIFICAR COMO DIRETORIA/CANAL")</x:f>
      </x:c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</x:row>
    <x:row r="156" ht="46.5" customHeight="1">
      <x:c r="A156" s="22" t="str">
        <x:f>IFERROR(VLOOKUP(C156,Dados!$A$4:$D$15,3,0),0)</x:f>
      </x:c>
      <x:c r="B156" s="25" t="str">
        <x:f>IFERROR(VLOOKUP(C156,Dados!$A$4:$B$13,2,0),"")</x:f>
      </x:c>
      <x:c r="C156" s="32"/>
      <x:c r="D156" s="5"/>
      <x:c r="E156" s="5"/>
      <x:c r="F156" s="5"/>
      <x:c r="G156" s="5"/>
      <x:c r="H156" s="5"/>
      <x:c r="I156" s="5"/>
      <x:c r="J156" s="24" t="str">
        <x:f>IFERROR(VLOOKUP(H156,Dados!$D$2:$F$63,2,0),"ERRO: VERIFICAR COMO DIRETORIA/CANAL")</x:f>
      </x:c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</x:row>
    <x:row r="157" ht="46.5" customHeight="1">
      <x:c r="A157" s="22" t="str">
        <x:f>IFERROR(VLOOKUP(C157,Dados!$A$4:$D$15,3,0),0)</x:f>
      </x:c>
      <x:c r="B157" s="25" t="str">
        <x:f>IFERROR(VLOOKUP(C157,Dados!$A$4:$B$13,2,0),"")</x:f>
      </x:c>
      <x:c r="C157" s="32"/>
      <x:c r="D157" s="5"/>
      <x:c r="E157" s="5"/>
      <x:c r="F157" s="5"/>
      <x:c r="G157" s="5"/>
      <x:c r="H157" s="5"/>
      <x:c r="I157" s="5"/>
      <x:c r="J157" s="24" t="str">
        <x:f>IFERROR(VLOOKUP(H157,Dados!$D$2:$F$63,2,0),"ERRO: VERIFICAR COMO DIRETORIA/CANAL")</x:f>
      </x:c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</x:row>
    <x:row r="158" ht="46.5" customHeight="1">
      <x:c r="A158" s="22" t="str">
        <x:f>IFERROR(VLOOKUP(C158,Dados!$A$4:$D$15,3,0),0)</x:f>
      </x:c>
      <x:c r="B158" s="25" t="str">
        <x:f>IFERROR(VLOOKUP(C158,Dados!$A$4:$B$13,2,0),"")</x:f>
      </x:c>
      <x:c r="C158" s="32"/>
      <x:c r="D158" s="5"/>
      <x:c r="E158" s="5"/>
      <x:c r="F158" s="5"/>
      <x:c r="G158" s="5"/>
      <x:c r="H158" s="5"/>
      <x:c r="I158" s="5"/>
      <x:c r="J158" s="24" t="str">
        <x:f>IFERROR(VLOOKUP(H158,Dados!$D$2:$F$63,2,0),"ERRO: VERIFICAR COMO DIRETORIA/CANAL")</x:f>
      </x:c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</x:row>
    <x:row r="159" ht="46.5" customHeight="1">
      <x:c r="A159" s="22" t="str">
        <x:f>IFERROR(VLOOKUP(C159,Dados!$A$4:$D$15,3,0),0)</x:f>
      </x:c>
      <x:c r="B159" s="25" t="str">
        <x:f>IFERROR(VLOOKUP(C159,Dados!$A$4:$B$13,2,0),"")</x:f>
      </x:c>
      <x:c r="C159" s="32"/>
      <x:c r="D159" s="5"/>
      <x:c r="E159" s="5"/>
      <x:c r="F159" s="5"/>
      <x:c r="G159" s="5"/>
      <x:c r="H159" s="5"/>
      <x:c r="I159" s="5"/>
      <x:c r="J159" s="24" t="str">
        <x:f>IFERROR(VLOOKUP(H159,Dados!$D$2:$F$63,2,0),"ERRO: VERIFICAR COMO DIRETORIA/CANAL")</x:f>
      </x:c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</x:row>
    <x:row r="160" ht="46.5" customHeight="1">
      <x:c r="A160" s="22" t="str">
        <x:f>IFERROR(VLOOKUP(C160,Dados!$A$4:$D$15,3,0),0)</x:f>
      </x:c>
      <x:c r="B160" s="25" t="str">
        <x:f>IFERROR(VLOOKUP(C160,Dados!$A$4:$B$13,2,0),"")</x:f>
      </x:c>
      <x:c r="C160" s="32"/>
      <x:c r="D160" s="5"/>
      <x:c r="E160" s="5"/>
      <x:c r="F160" s="5"/>
      <x:c r="G160" s="5"/>
      <x:c r="H160" s="5"/>
      <x:c r="I160" s="5"/>
      <x:c r="J160" s="24" t="str">
        <x:f>IFERROR(VLOOKUP(H160,Dados!$D$2:$F$63,2,0),"ERRO: VERIFICAR COMO DIRETORIA/CANAL")</x:f>
      </x:c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</x:row>
    <x:row r="161" ht="46.5" customHeight="1">
      <x:c r="A161" s="22" t="str">
        <x:f>IFERROR(VLOOKUP(C161,Dados!$A$4:$D$15,3,0),0)</x:f>
      </x:c>
      <x:c r="B161" s="25" t="str">
        <x:f>IFERROR(VLOOKUP(C161,Dados!$A$4:$B$13,2,0),"")</x:f>
      </x:c>
      <x:c r="C161" s="32"/>
      <x:c r="D161" s="5"/>
      <x:c r="E161" s="5"/>
      <x:c r="F161" s="5"/>
      <x:c r="G161" s="5"/>
      <x:c r="H161" s="5"/>
      <x:c r="I161" s="5"/>
      <x:c r="J161" s="24" t="str">
        <x:f>IFERROR(VLOOKUP(H161,Dados!$D$2:$F$63,2,0),"ERRO: VERIFICAR COMO DIRETORIA/CANAL")</x:f>
      </x:c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</x:row>
    <x:row r="162" ht="46.5" customHeight="1">
      <x:c r="A162" s="22" t="str">
        <x:f>IFERROR(VLOOKUP(C162,Dados!$A$4:$D$15,3,0),0)</x:f>
      </x:c>
      <x:c r="B162" s="25" t="str">
        <x:f>IFERROR(VLOOKUP(C162,Dados!$A$4:$B$13,2,0),"")</x:f>
      </x:c>
      <x:c r="C162" s="32"/>
      <x:c r="D162" s="5"/>
      <x:c r="E162" s="5"/>
      <x:c r="F162" s="5"/>
      <x:c r="G162" s="5"/>
      <x:c r="H162" s="5"/>
      <x:c r="I162" s="5"/>
      <x:c r="J162" s="24" t="str">
        <x:f>IFERROR(VLOOKUP(H162,Dados!$D$2:$F$63,2,0),"ERRO: VERIFICAR COMO DIRETORIA/CANAL")</x:f>
      </x:c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</x:row>
    <x:row r="163" ht="46.5" customHeight="1">
      <x:c r="A163" s="22" t="str">
        <x:f>IFERROR(VLOOKUP(C163,Dados!$A$4:$D$15,3,0),0)</x:f>
      </x:c>
      <x:c r="B163" s="25" t="str">
        <x:f>IFERROR(VLOOKUP(C163,Dados!$A$4:$B$13,2,0),"")</x:f>
      </x:c>
      <x:c r="C163" s="32"/>
      <x:c r="D163" s="5"/>
      <x:c r="E163" s="5"/>
      <x:c r="F163" s="5"/>
      <x:c r="G163" s="5"/>
      <x:c r="H163" s="5"/>
      <x:c r="I163" s="5"/>
      <x:c r="J163" s="24" t="str">
        <x:f>IFERROR(VLOOKUP(H163,Dados!$D$2:$F$63,2,0),"ERRO: VERIFICAR COMO DIRETORIA/CANAL")</x:f>
      </x:c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</x:row>
    <x:row r="164" ht="46.5" customHeight="1">
      <x:c r="A164" s="22" t="str">
        <x:f>IFERROR(VLOOKUP(C164,Dados!$A$4:$D$15,3,0),0)</x:f>
      </x:c>
      <x:c r="B164" s="25" t="str">
        <x:f>IFERROR(VLOOKUP(C164,Dados!$A$4:$B$13,2,0),"")</x:f>
      </x:c>
      <x:c r="C164" s="32"/>
      <x:c r="D164" s="5"/>
      <x:c r="E164" s="5"/>
      <x:c r="F164" s="5"/>
      <x:c r="G164" s="5"/>
      <x:c r="H164" s="5"/>
      <x:c r="I164" s="5"/>
      <x:c r="J164" s="24" t="str">
        <x:f>IFERROR(VLOOKUP(H164,Dados!$D$2:$F$63,2,0),"ERRO: VERIFICAR COMO DIRETORIA/CANAL")</x:f>
      </x:c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</x:row>
    <x:row r="165" ht="46.5" customHeight="1">
      <x:c r="A165" s="22" t="str">
        <x:f>IFERROR(VLOOKUP(C165,Dados!$A$4:$D$15,3,0),0)</x:f>
      </x:c>
      <x:c r="B165" s="25" t="str">
        <x:f>IFERROR(VLOOKUP(C165,Dados!$A$4:$B$13,2,0),"")</x:f>
      </x:c>
      <x:c r="C165" s="32"/>
      <x:c r="D165" s="5"/>
      <x:c r="E165" s="5"/>
      <x:c r="F165" s="5"/>
      <x:c r="G165" s="5"/>
      <x:c r="H165" s="5"/>
      <x:c r="I165" s="5"/>
      <x:c r="J165" s="24" t="str">
        <x:f>IFERROR(VLOOKUP(H165,Dados!$D$2:$F$63,2,0),"ERRO: VERIFICAR COMO DIRETORIA/CANAL")</x:f>
      </x:c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</x:row>
    <x:row r="166" ht="46.5" customHeight="1">
      <x:c r="A166" s="22" t="str">
        <x:f>IFERROR(VLOOKUP(C166,Dados!$A$4:$D$15,3,0),0)</x:f>
      </x:c>
      <x:c r="B166" s="25" t="str">
        <x:f>IFERROR(VLOOKUP(C166,Dados!$A$4:$B$13,2,0),"")</x:f>
      </x:c>
      <x:c r="C166" s="32"/>
      <x:c r="D166" s="5"/>
      <x:c r="E166" s="5"/>
      <x:c r="F166" s="5"/>
      <x:c r="G166" s="5"/>
      <x:c r="H166" s="5"/>
      <x:c r="I166" s="5"/>
      <x:c r="J166" s="24" t="str">
        <x:f>IFERROR(VLOOKUP(H166,Dados!$D$2:$F$63,2,0),"ERRO: VERIFICAR COMO DIRETORIA/CANAL")</x:f>
      </x:c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</x:row>
    <x:row r="167" ht="46.5" customHeight="1">
      <x:c r="A167" s="22" t="str">
        <x:f>IFERROR(VLOOKUP(C167,Dados!$A$4:$D$15,3,0),0)</x:f>
      </x:c>
      <x:c r="B167" s="25" t="str">
        <x:f>IFERROR(VLOOKUP(C167,Dados!$A$4:$B$13,2,0),"")</x:f>
      </x:c>
      <x:c r="C167" s="32"/>
      <x:c r="D167" s="5"/>
      <x:c r="E167" s="5"/>
      <x:c r="F167" s="5"/>
      <x:c r="G167" s="5"/>
      <x:c r="H167" s="5"/>
      <x:c r="I167" s="5"/>
      <x:c r="J167" s="24" t="str">
        <x:f>IFERROR(VLOOKUP(H167,Dados!$D$2:$F$63,2,0),"ERRO: VERIFICAR COMO DIRETORIA/CANAL")</x:f>
      </x:c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</x:row>
    <x:row r="168" ht="46.5" customHeight="1">
      <x:c r="A168" s="22" t="str">
        <x:f>IFERROR(VLOOKUP(C168,Dados!$A$4:$D$15,3,0),0)</x:f>
      </x:c>
      <x:c r="B168" s="25" t="str">
        <x:f>IFERROR(VLOOKUP(C168,Dados!$A$4:$B$13,2,0),"")</x:f>
      </x:c>
      <x:c r="C168" s="32"/>
      <x:c r="D168" s="5"/>
      <x:c r="E168" s="5"/>
      <x:c r="F168" s="5"/>
      <x:c r="G168" s="5"/>
      <x:c r="H168" s="5"/>
      <x:c r="I168" s="5"/>
      <x:c r="J168" s="24" t="str">
        <x:f>IFERROR(VLOOKUP(H168,Dados!$D$2:$F$63,2,0),"ERRO: VERIFICAR COMO DIRETORIA/CANAL")</x:f>
      </x:c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</x:row>
    <x:row r="169" ht="46.5" customHeight="1">
      <x:c r="A169" s="22" t="str">
        <x:f>IFERROR(VLOOKUP(C169,Dados!$A$4:$D$15,3,0),0)</x:f>
      </x:c>
      <x:c r="B169" s="25" t="str">
        <x:f>IFERROR(VLOOKUP(C169,Dados!$A$4:$B$13,2,0),"")</x:f>
      </x:c>
      <x:c r="C169" s="32"/>
      <x:c r="D169" s="5"/>
      <x:c r="E169" s="5"/>
      <x:c r="F169" s="5"/>
      <x:c r="G169" s="5"/>
      <x:c r="H169" s="5"/>
      <x:c r="I169" s="5"/>
      <x:c r="J169" s="24" t="str">
        <x:f>IFERROR(VLOOKUP(H169,Dados!$D$2:$F$63,2,0),"ERRO: VERIFICAR COMO DIRETORIA/CANAL")</x:f>
      </x:c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</x:row>
    <x:row r="170" ht="46.5" customHeight="1">
      <x:c r="A170" s="22" t="str">
        <x:f>IFERROR(VLOOKUP(C170,Dados!$A$4:$D$15,3,0),0)</x:f>
      </x:c>
      <x:c r="B170" s="25" t="str">
        <x:f>IFERROR(VLOOKUP(C170,Dados!$A$4:$B$13,2,0),"")</x:f>
      </x:c>
      <x:c r="C170" s="32"/>
      <x:c r="D170" s="5"/>
      <x:c r="E170" s="5"/>
      <x:c r="F170" s="5"/>
      <x:c r="G170" s="5"/>
      <x:c r="H170" s="5"/>
      <x:c r="I170" s="5"/>
      <x:c r="J170" s="24" t="str">
        <x:f>IFERROR(VLOOKUP(H170,Dados!$D$2:$F$63,2,0),"ERRO: VERIFICAR COMO DIRETORIA/CANAL")</x:f>
      </x:c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</x:row>
    <x:row r="171" ht="46.5" customHeight="1">
      <x:c r="A171" s="22" t="str">
        <x:f>IFERROR(VLOOKUP(C171,Dados!$A$4:$D$15,3,0),0)</x:f>
      </x:c>
      <x:c r="B171" s="25" t="str">
        <x:f>IFERROR(VLOOKUP(C171,Dados!$A$4:$B$13,2,0),"")</x:f>
      </x:c>
      <x:c r="C171" s="32"/>
      <x:c r="D171" s="5"/>
      <x:c r="E171" s="5"/>
      <x:c r="F171" s="5"/>
      <x:c r="G171" s="5"/>
      <x:c r="H171" s="5"/>
      <x:c r="I171" s="5"/>
      <x:c r="J171" s="24" t="str">
        <x:f>IFERROR(VLOOKUP(H171,Dados!$D$2:$F$63,2,0),"ERRO: VERIFICAR COMO DIRETORIA/CANAL")</x:f>
      </x:c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</x:row>
    <x:row r="172" ht="46.5" customHeight="1">
      <x:c r="A172" s="22" t="str">
        <x:f>IFERROR(VLOOKUP(C172,Dados!$A$4:$D$15,3,0),0)</x:f>
      </x:c>
      <x:c r="B172" s="25" t="str">
        <x:f>IFERROR(VLOOKUP(C172,Dados!$A$4:$B$13,2,0),"")</x:f>
      </x:c>
      <x:c r="C172" s="32"/>
      <x:c r="D172" s="5"/>
      <x:c r="E172" s="5"/>
      <x:c r="F172" s="5"/>
      <x:c r="G172" s="5"/>
      <x:c r="H172" s="5"/>
      <x:c r="I172" s="5"/>
      <x:c r="J172" s="24" t="str">
        <x:f>IFERROR(VLOOKUP(H172,Dados!$D$2:$F$63,2,0),"ERRO: VERIFICAR COMO DIRETORIA/CANAL")</x:f>
      </x:c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</x:row>
    <x:row r="173" ht="46.5" customHeight="1">
      <x:c r="A173" s="22" t="str">
        <x:f>IFERROR(VLOOKUP(C173,Dados!$A$4:$D$15,3,0),0)</x:f>
      </x:c>
      <x:c r="B173" s="25" t="str">
        <x:f>IFERROR(VLOOKUP(C173,Dados!$A$4:$B$13,2,0),"")</x:f>
      </x:c>
      <x:c r="C173" s="32"/>
      <x:c r="D173" s="5"/>
      <x:c r="E173" s="5"/>
      <x:c r="F173" s="5"/>
      <x:c r="G173" s="5"/>
      <x:c r="H173" s="5"/>
      <x:c r="I173" s="5"/>
      <x:c r="J173" s="24" t="str">
        <x:f>IFERROR(VLOOKUP(H173,Dados!$D$2:$F$63,2,0),"ERRO: VERIFICAR COMO DIRETORIA/CANAL")</x:f>
      </x:c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</x:row>
    <x:row r="174" ht="46.5" customHeight="1">
      <x:c r="A174" s="22" t="str">
        <x:f>IFERROR(VLOOKUP(C174,Dados!$A$4:$D$15,3,0),0)</x:f>
      </x:c>
      <x:c r="B174" s="25" t="str">
        <x:f>IFERROR(VLOOKUP(C174,Dados!$A$4:$B$13,2,0),"")</x:f>
      </x:c>
      <x:c r="C174" s="32"/>
      <x:c r="D174" s="5"/>
      <x:c r="E174" s="5"/>
      <x:c r="F174" s="5"/>
      <x:c r="G174" s="5"/>
      <x:c r="H174" s="5"/>
      <x:c r="I174" s="5"/>
      <x:c r="J174" s="24" t="str">
        <x:f>IFERROR(VLOOKUP(H174,Dados!$D$2:$F$63,2,0),"ERRO: VERIFICAR COMO DIRETORIA/CANAL")</x:f>
      </x:c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</x:row>
    <x:row r="175" ht="46.5" customHeight="1">
      <x:c r="A175" s="22" t="str">
        <x:f>IFERROR(VLOOKUP(C175,Dados!$A$4:$D$15,3,0),0)</x:f>
      </x:c>
      <x:c r="B175" s="25" t="str">
        <x:f>IFERROR(VLOOKUP(C175,Dados!$A$4:$B$13,2,0),"")</x:f>
      </x:c>
      <x:c r="C175" s="32"/>
      <x:c r="D175" s="5"/>
      <x:c r="E175" s="5"/>
      <x:c r="F175" s="5"/>
      <x:c r="G175" s="5"/>
      <x:c r="H175" s="5"/>
      <x:c r="I175" s="5"/>
      <x:c r="J175" s="24" t="str">
        <x:f>IFERROR(VLOOKUP(H175,Dados!$D$2:$F$63,2,0),"ERRO: VERIFICAR COMO DIRETORIA/CANAL")</x:f>
      </x:c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</x:row>
    <x:row r="176" ht="46.5" customHeight="1">
      <x:c r="A176" s="22" t="str">
        <x:f>IFERROR(VLOOKUP(C176,Dados!$A$4:$D$15,3,0),0)</x:f>
      </x:c>
      <x:c r="B176" s="25" t="str">
        <x:f>IFERROR(VLOOKUP(C176,Dados!$A$4:$B$13,2,0),"")</x:f>
      </x:c>
      <x:c r="C176" s="32"/>
      <x:c r="D176" s="5"/>
      <x:c r="E176" s="5"/>
      <x:c r="F176" s="5"/>
      <x:c r="G176" s="5"/>
      <x:c r="H176" s="5"/>
      <x:c r="I176" s="5"/>
      <x:c r="J176" s="24" t="str">
        <x:f>IFERROR(VLOOKUP(H176,Dados!$D$2:$F$63,2,0),"ERRO: VERIFICAR COMO DIRETORIA/CANAL")</x:f>
      </x:c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</x:row>
    <x:row r="177" ht="46.5" customHeight="1">
      <x:c r="A177" s="22" t="str">
        <x:f>IFERROR(VLOOKUP(C177,Dados!$A$4:$D$15,3,0),0)</x:f>
      </x:c>
      <x:c r="B177" s="25" t="str">
        <x:f>IFERROR(VLOOKUP(C177,Dados!$A$4:$B$13,2,0),"")</x:f>
      </x:c>
      <x:c r="C177" s="32"/>
      <x:c r="D177" s="5"/>
      <x:c r="E177" s="5"/>
      <x:c r="F177" s="5"/>
      <x:c r="G177" s="5"/>
      <x:c r="H177" s="5"/>
      <x:c r="I177" s="5"/>
      <x:c r="J177" s="24" t="str">
        <x:f>IFERROR(VLOOKUP(H177,Dados!$D$2:$F$63,2,0),"ERRO: VERIFICAR COMO DIRETORIA/CANAL")</x:f>
      </x:c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</x:row>
    <x:row r="178" ht="46.5" customHeight="1">
      <x:c r="A178" s="22" t="str">
        <x:f>IFERROR(VLOOKUP(C178,Dados!$A$4:$D$15,3,0),0)</x:f>
      </x:c>
      <x:c r="B178" s="25" t="str">
        <x:f>IFERROR(VLOOKUP(C178,Dados!$A$4:$B$13,2,0),"")</x:f>
      </x:c>
      <x:c r="C178" s="32"/>
      <x:c r="D178" s="5"/>
      <x:c r="E178" s="5"/>
      <x:c r="F178" s="5"/>
      <x:c r="G178" s="5"/>
      <x:c r="H178" s="5"/>
      <x:c r="I178" s="5"/>
      <x:c r="J178" s="24" t="str">
        <x:f>IFERROR(VLOOKUP(H178,Dados!$D$2:$F$63,2,0),"ERRO: VERIFICAR COMO DIRETORIA/CANAL")</x:f>
      </x:c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</x:row>
    <x:row r="179" ht="46.5" customHeight="1">
      <x:c r="A179" s="22" t="str">
        <x:f>IFERROR(VLOOKUP(C179,Dados!$A$4:$D$15,3,0),0)</x:f>
      </x:c>
      <x:c r="B179" s="25" t="str">
        <x:f>IFERROR(VLOOKUP(C179,Dados!$A$4:$B$13,2,0),"")</x:f>
      </x:c>
      <x:c r="C179" s="32"/>
      <x:c r="D179" s="5"/>
      <x:c r="E179" s="5"/>
      <x:c r="F179" s="5"/>
      <x:c r="G179" s="5"/>
      <x:c r="H179" s="5"/>
      <x:c r="I179" s="5"/>
      <x:c r="J179" s="24" t="str">
        <x:f>IFERROR(VLOOKUP(H179,Dados!$D$2:$F$63,2,0),"ERRO: VERIFICAR COMO DIRETORIA/CANAL")</x:f>
      </x:c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</x:row>
    <x:row r="180" ht="46.5" customHeight="1">
      <x:c r="A180" s="22" t="str">
        <x:f>IFERROR(VLOOKUP(C180,Dados!$A$4:$D$15,3,0),0)</x:f>
      </x:c>
      <x:c r="B180" s="25" t="str">
        <x:f>IFERROR(VLOOKUP(C180,Dados!$A$4:$B$13,2,0),"")</x:f>
      </x:c>
      <x:c r="C180" s="32"/>
      <x:c r="D180" s="5"/>
      <x:c r="E180" s="5"/>
      <x:c r="F180" s="5"/>
      <x:c r="G180" s="5"/>
      <x:c r="H180" s="5"/>
      <x:c r="I180" s="5"/>
      <x:c r="J180" s="24" t="str">
        <x:f>IFERROR(VLOOKUP(H180,Dados!$D$2:$F$63,2,0),"ERRO: VERIFICAR COMO DIRETORIA/CANAL")</x:f>
      </x:c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</x:row>
    <x:row r="181" ht="46.5" customHeight="1">
      <x:c r="A181" s="22" t="str">
        <x:f>IFERROR(VLOOKUP(C181,Dados!$A$4:$D$15,3,0),0)</x:f>
      </x:c>
      <x:c r="B181" s="25" t="str">
        <x:f>IFERROR(VLOOKUP(C181,Dados!$A$4:$B$13,2,0),"")</x:f>
      </x:c>
      <x:c r="C181" s="32"/>
      <x:c r="D181" s="5"/>
      <x:c r="E181" s="5"/>
      <x:c r="F181" s="5"/>
      <x:c r="G181" s="5"/>
      <x:c r="H181" s="5"/>
      <x:c r="I181" s="5"/>
      <x:c r="J181" s="24" t="str">
        <x:f>IFERROR(VLOOKUP(H181,Dados!$D$2:$F$63,2,0),"ERRO: VERIFICAR COMO DIRETORIA/CANAL")</x:f>
      </x:c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</x:row>
    <x:row r="182" ht="46.5" customHeight="1">
      <x:c r="A182" s="22" t="str">
        <x:f>IFERROR(VLOOKUP(C182,Dados!$A$4:$D$15,3,0),0)</x:f>
      </x:c>
      <x:c r="B182" s="25" t="str">
        <x:f>IFERROR(VLOOKUP(C182,Dados!$A$4:$B$13,2,0),"")</x:f>
      </x:c>
      <x:c r="C182" s="32"/>
      <x:c r="D182" s="5"/>
      <x:c r="E182" s="5"/>
      <x:c r="F182" s="5"/>
      <x:c r="G182" s="5"/>
      <x:c r="H182" s="5"/>
      <x:c r="I182" s="5"/>
      <x:c r="J182" s="24" t="str">
        <x:f>IFERROR(VLOOKUP(H182,Dados!$D$2:$F$63,2,0),"ERRO: VERIFICAR COMO DIRETORIA/CANAL")</x:f>
      </x:c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</x:row>
    <x:row r="183" ht="46.5" customHeight="1">
      <x:c r="A183" s="22" t="str">
        <x:f>IFERROR(VLOOKUP(C183,Dados!$A$4:$D$15,3,0),0)</x:f>
      </x:c>
      <x:c r="B183" s="25" t="str">
        <x:f>IFERROR(VLOOKUP(C183,Dados!$A$4:$B$13,2,0),"")</x:f>
      </x:c>
      <x:c r="C183" s="32"/>
      <x:c r="D183" s="5"/>
      <x:c r="E183" s="5"/>
      <x:c r="F183" s="5"/>
      <x:c r="G183" s="5"/>
      <x:c r="H183" s="5"/>
      <x:c r="I183" s="5"/>
      <x:c r="J183" s="24" t="str">
        <x:f>IFERROR(VLOOKUP(H183,Dados!$D$2:$F$63,2,0),"ERRO: VERIFICAR COMO DIRETORIA/CANAL")</x:f>
      </x:c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</x:row>
    <x:row r="184" ht="46.5" customHeight="1">
      <x:c r="A184" s="22" t="str">
        <x:f>IFERROR(VLOOKUP(C184,Dados!$A$4:$D$15,3,0),0)</x:f>
      </x:c>
      <x:c r="B184" s="25" t="str">
        <x:f>IFERROR(VLOOKUP(C184,Dados!$A$4:$B$13,2,0),"")</x:f>
      </x:c>
      <x:c r="C184" s="32"/>
      <x:c r="D184" s="5"/>
      <x:c r="E184" s="5"/>
      <x:c r="F184" s="5"/>
      <x:c r="G184" s="5"/>
      <x:c r="H184" s="5"/>
      <x:c r="I184" s="5"/>
      <x:c r="J184" s="24" t="str">
        <x:f>IFERROR(VLOOKUP(H184,Dados!$D$2:$F$63,2,0),"ERRO: VERIFICAR COMO DIRETORIA/CANAL")</x:f>
      </x:c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</x:row>
    <x:row r="185" ht="46.5" customHeight="1">
      <x:c r="A185" s="22" t="str">
        <x:f>IFERROR(VLOOKUP(C185,Dados!$A$4:$D$15,3,0),0)</x:f>
      </x:c>
      <x:c r="B185" s="25" t="str">
        <x:f>IFERROR(VLOOKUP(C185,Dados!$A$4:$B$13,2,0),"")</x:f>
      </x:c>
      <x:c r="C185" s="32"/>
      <x:c r="D185" s="5"/>
      <x:c r="E185" s="5"/>
      <x:c r="F185" s="5"/>
      <x:c r="G185" s="5"/>
      <x:c r="H185" s="5"/>
      <x:c r="I185" s="5"/>
      <x:c r="J185" s="24" t="str">
        <x:f>IFERROR(VLOOKUP(H185,Dados!$D$2:$F$63,2,0),"ERRO: VERIFICAR COMO DIRETORIA/CANAL")</x:f>
      </x:c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</x:row>
    <x:row r="186" ht="46.5" customHeight="1">
      <x:c r="A186" s="22" t="str">
        <x:f>IFERROR(VLOOKUP(C186,Dados!$A$4:$D$15,3,0),0)</x:f>
      </x:c>
      <x:c r="B186" s="25" t="str">
        <x:f>IFERROR(VLOOKUP(C186,Dados!$A$4:$B$13,2,0),"")</x:f>
      </x:c>
      <x:c r="C186" s="32"/>
      <x:c r="D186" s="5"/>
      <x:c r="E186" s="5"/>
      <x:c r="F186" s="5"/>
      <x:c r="G186" s="5"/>
      <x:c r="H186" s="5"/>
      <x:c r="I186" s="5"/>
      <x:c r="J186" s="24" t="str">
        <x:f>IFERROR(VLOOKUP(H186,Dados!$D$2:$F$63,2,0),"ERRO: VERIFICAR COMO DIRETORIA/CANAL")</x:f>
      </x:c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</x:row>
    <x:row r="187" ht="46.5" customHeight="1">
      <x:c r="A187" s="22" t="str">
        <x:f>IFERROR(VLOOKUP(C187,Dados!$A$4:$D$15,3,0),0)</x:f>
      </x:c>
      <x:c r="B187" s="25" t="str">
        <x:f>IFERROR(VLOOKUP(C187,Dados!$A$4:$B$13,2,0),"")</x:f>
      </x:c>
      <x:c r="C187" s="32"/>
      <x:c r="D187" s="5"/>
      <x:c r="E187" s="5"/>
      <x:c r="F187" s="5"/>
      <x:c r="G187" s="5"/>
      <x:c r="H187" s="5"/>
      <x:c r="I187" s="5"/>
      <x:c r="J187" s="24" t="str">
        <x:f>IFERROR(VLOOKUP(H187,Dados!$D$2:$F$63,2,0),"ERRO: VERIFICAR COMO DIRETORIA/CANAL")</x:f>
      </x:c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</x:row>
    <x:row r="188" ht="46.5" customHeight="1">
      <x:c r="A188" s="22" t="str">
        <x:f>IFERROR(VLOOKUP(C188,Dados!$A$4:$D$15,3,0),0)</x:f>
      </x:c>
      <x:c r="B188" s="25" t="str">
        <x:f>IFERROR(VLOOKUP(C188,Dados!$A$4:$B$13,2,0),"")</x:f>
      </x:c>
      <x:c r="C188" s="32"/>
      <x:c r="D188" s="5"/>
      <x:c r="E188" s="5"/>
      <x:c r="F188" s="5"/>
      <x:c r="G188" s="5"/>
      <x:c r="H188" s="5"/>
      <x:c r="I188" s="5"/>
      <x:c r="J188" s="24" t="str">
        <x:f>IFERROR(VLOOKUP(H188,Dados!$D$2:$F$63,2,0),"ERRO: VERIFICAR COMO DIRETORIA/CANAL")</x:f>
      </x:c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</x:row>
    <x:row r="189" ht="46.5" customHeight="1">
      <x:c r="A189" s="22" t="str">
        <x:f>IFERROR(VLOOKUP(C189,Dados!$A$4:$D$15,3,0),0)</x:f>
      </x:c>
      <x:c r="B189" s="25" t="str">
        <x:f>IFERROR(VLOOKUP(C189,Dados!$A$4:$B$13,2,0),"")</x:f>
      </x:c>
      <x:c r="C189" s="32"/>
      <x:c r="D189" s="5"/>
      <x:c r="E189" s="5"/>
      <x:c r="F189" s="5"/>
      <x:c r="G189" s="5"/>
      <x:c r="H189" s="5"/>
      <x:c r="I189" s="5"/>
      <x:c r="J189" s="24" t="str">
        <x:f>IFERROR(VLOOKUP(H189,Dados!$D$2:$F$63,2,0),"ERRO: VERIFICAR COMO DIRETORIA/CANAL")</x:f>
      </x:c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</x:row>
    <x:row r="190" ht="46.5" customHeight="1">
      <x:c r="A190" s="22" t="str">
        <x:f>IFERROR(VLOOKUP(C190,Dados!$A$4:$D$15,3,0),0)</x:f>
      </x:c>
      <x:c r="B190" s="25" t="str">
        <x:f>IFERROR(VLOOKUP(C190,Dados!$A$4:$B$13,2,0),"")</x:f>
      </x:c>
      <x:c r="C190" s="32"/>
      <x:c r="D190" s="5"/>
      <x:c r="E190" s="5"/>
      <x:c r="F190" s="5"/>
      <x:c r="G190" s="5"/>
      <x:c r="H190" s="5"/>
      <x:c r="I190" s="5"/>
      <x:c r="J190" s="24" t="str">
        <x:f>IFERROR(VLOOKUP(H190,Dados!$D$2:$F$63,2,0),"ERRO: VERIFICAR COMO DIRETORIA/CANAL")</x:f>
      </x:c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</x:row>
    <x:row r="191" ht="46.5" customHeight="1">
      <x:c r="A191" s="22" t="str">
        <x:f>IFERROR(VLOOKUP(C191,Dados!$A$4:$D$15,3,0),0)</x:f>
      </x:c>
      <x:c r="B191" s="25" t="str">
        <x:f>IFERROR(VLOOKUP(C191,Dados!$A$4:$B$13,2,0),"")</x:f>
      </x:c>
      <x:c r="C191" s="32"/>
      <x:c r="D191" s="5"/>
      <x:c r="E191" s="5"/>
      <x:c r="F191" s="5"/>
      <x:c r="G191" s="5"/>
      <x:c r="H191" s="5"/>
      <x:c r="I191" s="5"/>
      <x:c r="J191" s="24" t="str">
        <x:f>IFERROR(VLOOKUP(H191,Dados!$D$2:$F$63,2,0),"ERRO: VERIFICAR COMO DIRETORIA/CANAL")</x:f>
      </x:c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</x:row>
    <x:row r="192" ht="46.5" customHeight="1">
      <x:c r="A192" s="22" t="str">
        <x:f>IFERROR(VLOOKUP(C192,Dados!$A$4:$D$15,3,0),0)</x:f>
      </x:c>
      <x:c r="B192" s="25" t="str">
        <x:f>IFERROR(VLOOKUP(C192,Dados!$A$4:$B$13,2,0),"")</x:f>
      </x:c>
      <x:c r="C192" s="32"/>
      <x:c r="D192" s="5"/>
      <x:c r="E192" s="5"/>
      <x:c r="F192" s="5"/>
      <x:c r="G192" s="5"/>
      <x:c r="H192" s="5"/>
      <x:c r="I192" s="5"/>
      <x:c r="J192" s="24" t="str">
        <x:f>IFERROR(VLOOKUP(H192,Dados!$D$2:$F$63,2,0),"ERRO: VERIFICAR COMO DIRETORIA/CANAL")</x:f>
      </x:c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</x:row>
    <x:row r="193" ht="46.5" customHeight="1">
      <x:c r="A193" s="22" t="str">
        <x:f>IFERROR(VLOOKUP(C193,Dados!$A$4:$D$15,3,0),0)</x:f>
      </x:c>
      <x:c r="B193" s="25" t="str">
        <x:f>IFERROR(VLOOKUP(C193,Dados!$A$4:$B$13,2,0),"")</x:f>
      </x:c>
      <x:c r="C193" s="32"/>
      <x:c r="D193" s="5"/>
      <x:c r="E193" s="5"/>
      <x:c r="F193" s="5"/>
      <x:c r="G193" s="5"/>
      <x:c r="H193" s="5"/>
      <x:c r="I193" s="5"/>
      <x:c r="J193" s="24" t="str">
        <x:f>IFERROR(VLOOKUP(H193,Dados!$D$2:$F$63,2,0),"ERRO: VERIFICAR COMO DIRETORIA/CANAL")</x:f>
      </x:c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</x:row>
    <x:row r="194" ht="46.5" customHeight="1">
      <x:c r="A194" s="22" t="str">
        <x:f>IFERROR(VLOOKUP(C194,Dados!$A$4:$D$15,3,0),0)</x:f>
      </x:c>
      <x:c r="B194" s="25" t="str">
        <x:f>IFERROR(VLOOKUP(C194,Dados!$A$4:$B$13,2,0),"")</x:f>
      </x:c>
      <x:c r="C194" s="32"/>
      <x:c r="D194" s="5"/>
      <x:c r="E194" s="5"/>
      <x:c r="F194" s="5"/>
      <x:c r="G194" s="5"/>
      <x:c r="H194" s="5"/>
      <x:c r="I194" s="5"/>
      <x:c r="J194" s="24" t="str">
        <x:f>IFERROR(VLOOKUP(H194,Dados!$D$2:$F$63,2,0),"ERRO: VERIFICAR COMO DIRETORIA/CANAL")</x:f>
      </x:c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</x:row>
    <x:row r="195" ht="46.5" customHeight="1">
      <x:c r="A195" s="22" t="str">
        <x:f>IFERROR(VLOOKUP(C195,Dados!$A$4:$D$15,3,0),0)</x:f>
      </x:c>
      <x:c r="B195" s="25" t="str">
        <x:f>IFERROR(VLOOKUP(C195,Dados!$A$4:$B$13,2,0),"")</x:f>
      </x:c>
      <x:c r="C195" s="32"/>
      <x:c r="D195" s="5"/>
      <x:c r="E195" s="5"/>
      <x:c r="F195" s="5"/>
      <x:c r="G195" s="5"/>
      <x:c r="H195" s="5"/>
      <x:c r="I195" s="5"/>
      <x:c r="J195" s="24" t="str">
        <x:f>IFERROR(VLOOKUP(H195,Dados!$D$2:$F$63,2,0),"ERRO: VERIFICAR COMO DIRETORIA/CANAL")</x:f>
      </x:c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</x:row>
    <x:row r="196" ht="46.5" customHeight="1">
      <x:c r="A196" s="22" t="str">
        <x:f>IFERROR(VLOOKUP(C196,Dados!$A$4:$D$15,3,0),0)</x:f>
      </x:c>
      <x:c r="B196" s="25" t="str">
        <x:f>IFERROR(VLOOKUP(C196,Dados!$A$4:$B$13,2,0),"")</x:f>
      </x:c>
      <x:c r="C196" s="32"/>
      <x:c r="D196" s="5"/>
      <x:c r="E196" s="5"/>
      <x:c r="F196" s="5"/>
      <x:c r="G196" s="5"/>
      <x:c r="H196" s="5"/>
      <x:c r="I196" s="5"/>
      <x:c r="J196" s="24" t="str">
        <x:f>IFERROR(VLOOKUP(H196,Dados!$D$2:$F$63,2,0),"ERRO: VERIFICAR COMO DIRETORIA/CANAL")</x:f>
      </x:c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</x:row>
    <x:row r="197" ht="46.5" customHeight="1">
      <x:c r="A197" s="22" t="str">
        <x:f>IFERROR(VLOOKUP(C197,Dados!$A$4:$D$15,3,0),0)</x:f>
      </x:c>
      <x:c r="B197" s="25" t="str">
        <x:f>IFERROR(VLOOKUP(C197,Dados!$A$4:$B$13,2,0),"")</x:f>
      </x:c>
      <x:c r="C197" s="32"/>
      <x:c r="D197" s="5"/>
      <x:c r="E197" s="5"/>
      <x:c r="F197" s="5"/>
      <x:c r="G197" s="5"/>
      <x:c r="H197" s="5"/>
      <x:c r="I197" s="5"/>
      <x:c r="J197" s="24" t="str">
        <x:f>IFERROR(VLOOKUP(H197,Dados!$D$2:$F$63,2,0),"ERRO: VERIFICAR COMO DIRETORIA/CANAL")</x:f>
      </x:c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</x:row>
    <x:row r="198" ht="46.5" customHeight="1">
      <x:c r="A198" s="22" t="str">
        <x:f>IFERROR(VLOOKUP(C198,Dados!$A$4:$D$15,3,0),0)</x:f>
      </x:c>
      <x:c r="B198" s="25" t="str">
        <x:f>IFERROR(VLOOKUP(C198,Dados!$A$4:$B$13,2,0),"")</x:f>
      </x:c>
      <x:c r="C198" s="32"/>
      <x:c r="D198" s="5"/>
      <x:c r="E198" s="5"/>
      <x:c r="F198" s="5"/>
      <x:c r="G198" s="5"/>
      <x:c r="H198" s="5"/>
      <x:c r="I198" s="5"/>
      <x:c r="J198" s="24" t="str">
        <x:f>IFERROR(VLOOKUP(H198,Dados!$D$2:$F$63,2,0),"ERRO: VERIFICAR COMO DIRETORIA/CANAL")</x:f>
      </x:c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</x:row>
    <x:row r="199" ht="46.5" customHeight="1">
      <x:c r="A199" s="22" t="str">
        <x:f>IFERROR(VLOOKUP(C199,Dados!$A$4:$D$15,3,0),0)</x:f>
      </x:c>
      <x:c r="B199" s="25" t="str">
        <x:f>IFERROR(VLOOKUP(C199,Dados!$A$4:$B$13,2,0),"")</x:f>
      </x:c>
      <x:c r="C199" s="32"/>
      <x:c r="D199" s="5"/>
      <x:c r="E199" s="5"/>
      <x:c r="F199" s="5"/>
      <x:c r="G199" s="5"/>
      <x:c r="H199" s="5"/>
      <x:c r="I199" s="5"/>
      <x:c r="J199" s="24" t="str">
        <x:f>IFERROR(VLOOKUP(H199,Dados!$D$2:$F$63,2,0),"ERRO: VERIFICAR COMO DIRETORIA/CANAL")</x:f>
      </x:c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</x:row>
    <x:row r="200" ht="46.5" customHeight="1">
      <x:c r="A200" s="22" t="str">
        <x:f>IFERROR(VLOOKUP(C200,Dados!$A$4:$D$15,3,0),0)</x:f>
      </x:c>
      <x:c r="B200" s="25" t="str">
        <x:f>IFERROR(VLOOKUP(C200,Dados!$A$4:$B$13,2,0),"")</x:f>
      </x:c>
      <x:c r="C200" s="32"/>
      <x:c r="D200" s="5"/>
      <x:c r="E200" s="5"/>
      <x:c r="F200" s="5"/>
      <x:c r="G200" s="5"/>
      <x:c r="H200" s="5"/>
      <x:c r="I200" s="5"/>
      <x:c r="J200" s="24" t="str">
        <x:f>IFERROR(VLOOKUP(H200,Dados!$D$2:$F$63,2,0),"ERRO: VERIFICAR COMO DIRETORIA/CANAL")</x:f>
      </x:c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</x:row>
    <x:row r="201" ht="46.5" customHeight="1">
      <x:c r="A201" s="22" t="str">
        <x:f>IFERROR(VLOOKUP(C201,Dados!$A$4:$D$15,3,0),0)</x:f>
      </x:c>
      <x:c r="B201" s="25" t="str">
        <x:f>IFERROR(VLOOKUP(C201,Dados!$A$4:$B$13,2,0),"")</x:f>
      </x:c>
      <x:c r="C201" s="32"/>
      <x:c r="D201" s="5"/>
      <x:c r="E201" s="5"/>
      <x:c r="F201" s="5"/>
      <x:c r="G201" s="5"/>
      <x:c r="H201" s="5"/>
      <x:c r="I201" s="5"/>
      <x:c r="J201" s="24" t="str">
        <x:f>IFERROR(VLOOKUP(H201,Dados!$D$2:$F$63,2,0),"ERRO: VERIFICAR COMO DIRETORIA/CANAL")</x:f>
      </x:c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</x:row>
    <x:row r="202" ht="46.5" customHeight="1">
      <x:c r="A202" s="22" t="str">
        <x:f>IFERROR(VLOOKUP(C202,Dados!$A$4:$D$15,3,0),0)</x:f>
      </x:c>
      <x:c r="B202" s="25" t="str">
        <x:f>IFERROR(VLOOKUP(C202,Dados!$A$4:$B$13,2,0),"")</x:f>
      </x:c>
      <x:c r="C202" s="32"/>
      <x:c r="D202" s="5"/>
      <x:c r="E202" s="5"/>
      <x:c r="F202" s="5"/>
      <x:c r="G202" s="5"/>
      <x:c r="H202" s="5"/>
      <x:c r="I202" s="5"/>
      <x:c r="J202" s="24" t="str">
        <x:f>IFERROR(VLOOKUP(H202,Dados!$D$2:$F$63,2,0),"ERRO: VERIFICAR COMO DIRETORIA/CANAL")</x:f>
      </x:c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</x:row>
    <x:row r="203" ht="46.5" customHeight="1">
      <x:c r="A203" s="22" t="str">
        <x:f>IFERROR(VLOOKUP(C203,Dados!$A$4:$D$15,3,0),0)</x:f>
      </x:c>
      <x:c r="B203" s="25" t="str">
        <x:f>IFERROR(VLOOKUP(C203,Dados!$A$4:$B$13,2,0),"")</x:f>
      </x:c>
      <x:c r="C203" s="32"/>
      <x:c r="D203" s="5"/>
      <x:c r="E203" s="5"/>
      <x:c r="F203" s="5"/>
      <x:c r="G203" s="5"/>
      <x:c r="H203" s="5"/>
      <x:c r="I203" s="5"/>
      <x:c r="J203" s="24" t="str">
        <x:f>IFERROR(VLOOKUP(H203,Dados!$D$2:$F$63,2,0),"ERRO: VERIFICAR COMO DIRETORIA/CANAL")</x:f>
      </x:c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</x:row>
    <x:row r="204" ht="46.5" customHeight="1">
      <x:c r="A204" s="22" t="str">
        <x:f>IFERROR(VLOOKUP(C204,Dados!$A$4:$D$15,3,0),0)</x:f>
      </x:c>
      <x:c r="B204" s="25" t="str">
        <x:f>IFERROR(VLOOKUP(C204,Dados!$A$4:$B$13,2,0),"")</x:f>
      </x:c>
      <x:c r="C204" s="32"/>
      <x:c r="D204" s="5"/>
      <x:c r="E204" s="5"/>
      <x:c r="F204" s="5"/>
      <x:c r="G204" s="5"/>
      <x:c r="H204" s="5"/>
      <x:c r="I204" s="5"/>
      <x:c r="J204" s="24" t="str">
        <x:f>IFERROR(VLOOKUP(H204,Dados!$D$2:$F$63,2,0),"ERRO: VERIFICAR COMO DIRETORIA/CANAL")</x:f>
      </x:c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</x:row>
    <x:row r="205" ht="46.5" customHeight="1">
      <x:c r="A205" s="22" t="str">
        <x:f>IFERROR(VLOOKUP(C205,Dados!$A$4:$D$15,3,0),0)</x:f>
      </x:c>
      <x:c r="B205" s="25" t="str">
        <x:f>IFERROR(VLOOKUP(C205,Dados!$A$4:$B$13,2,0),"")</x:f>
      </x:c>
      <x:c r="C205" s="32"/>
      <x:c r="D205" s="5"/>
      <x:c r="E205" s="5"/>
      <x:c r="F205" s="5"/>
      <x:c r="G205" s="5"/>
      <x:c r="H205" s="5"/>
      <x:c r="I205" s="5"/>
      <x:c r="J205" s="24" t="str">
        <x:f>IFERROR(VLOOKUP(H205,Dados!$D$2:$F$63,2,0),"ERRO: VERIFICAR COMO DIRETORIA/CANAL")</x:f>
      </x:c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</x:row>
    <x:row r="206" ht="46.5" customHeight="1">
      <x:c r="A206" s="22" t="str">
        <x:f>IFERROR(VLOOKUP(C206,Dados!$A$4:$D$15,3,0),0)</x:f>
      </x:c>
      <x:c r="B206" s="25" t="str">
        <x:f>IFERROR(VLOOKUP(C206,Dados!$A$4:$B$13,2,0),"")</x:f>
      </x:c>
      <x:c r="C206" s="32"/>
      <x:c r="D206" s="5"/>
      <x:c r="E206" s="5"/>
      <x:c r="F206" s="5"/>
      <x:c r="G206" s="5"/>
      <x:c r="H206" s="5"/>
      <x:c r="I206" s="5"/>
      <x:c r="J206" s="24" t="str">
        <x:f>IFERROR(VLOOKUP(H206,Dados!$D$2:$F$63,2,0),"ERRO: VERIFICAR COMO DIRETORIA/CANAL")</x:f>
      </x:c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</x:row>
    <x:row r="207" ht="46.5" customHeight="1">
      <x:c r="A207" s="22" t="str">
        <x:f>IFERROR(VLOOKUP(C207,Dados!$A$4:$D$15,3,0),0)</x:f>
      </x:c>
      <x:c r="B207" s="25" t="str">
        <x:f>IFERROR(VLOOKUP(C207,Dados!$A$4:$B$13,2,0),"")</x:f>
      </x:c>
      <x:c r="C207" s="32"/>
      <x:c r="D207" s="5"/>
      <x:c r="E207" s="5"/>
      <x:c r="F207" s="5"/>
      <x:c r="G207" s="5"/>
      <x:c r="H207" s="5"/>
      <x:c r="I207" s="5"/>
      <x:c r="J207" s="24" t="str">
        <x:f>IFERROR(VLOOKUP(H207,Dados!$D$2:$F$63,2,0),"ERRO: VERIFICAR COMO DIRETORIA/CANAL")</x:f>
      </x:c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</x:row>
    <x:row r="208" ht="46.5" customHeight="1">
      <x:c r="A208" s="22" t="str">
        <x:f>IFERROR(VLOOKUP(C208,Dados!$A$4:$D$15,3,0),0)</x:f>
      </x:c>
      <x:c r="B208" s="25" t="str">
        <x:f>IFERROR(VLOOKUP(C208,Dados!$A$4:$B$13,2,0),"")</x:f>
      </x:c>
      <x:c r="C208" s="32"/>
      <x:c r="D208" s="5"/>
      <x:c r="E208" s="5"/>
      <x:c r="F208" s="5"/>
      <x:c r="G208" s="5"/>
      <x:c r="H208" s="5"/>
      <x:c r="I208" s="5"/>
      <x:c r="J208" s="24" t="str">
        <x:f>IFERROR(VLOOKUP(H208,Dados!$D$2:$F$63,2,0),"ERRO: VERIFICAR COMO DIRETORIA/CANAL")</x:f>
      </x:c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</x:row>
    <x:row r="209" ht="46.5" customHeight="1">
      <x:c r="A209" s="22" t="str">
        <x:f>IFERROR(VLOOKUP(C209,Dados!$A$4:$D$15,3,0),0)</x:f>
      </x:c>
      <x:c r="B209" s="25" t="str">
        <x:f>IFERROR(VLOOKUP(C209,Dados!$A$4:$B$13,2,0),"")</x:f>
      </x:c>
      <x:c r="C209" s="32"/>
      <x:c r="D209" s="5"/>
      <x:c r="E209" s="5"/>
      <x:c r="F209" s="5"/>
      <x:c r="G209" s="5"/>
      <x:c r="H209" s="5"/>
      <x:c r="I209" s="5"/>
      <x:c r="J209" s="24" t="str">
        <x:f>IFERROR(VLOOKUP(H209,Dados!$D$2:$F$63,2,0),"ERRO: VERIFICAR COMO DIRETORIA/CANAL")</x:f>
      </x:c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</x:row>
    <x:row r="210" ht="46.5" customHeight="1">
      <x:c r="A210" s="22" t="str">
        <x:f>IFERROR(VLOOKUP(C210,Dados!$A$4:$D$15,3,0),0)</x:f>
      </x:c>
      <x:c r="B210" s="25" t="str">
        <x:f>IFERROR(VLOOKUP(C210,Dados!$A$4:$B$13,2,0),"")</x:f>
      </x:c>
      <x:c r="C210" s="32"/>
      <x:c r="D210" s="5"/>
      <x:c r="E210" s="5"/>
      <x:c r="F210" s="5"/>
      <x:c r="G210" s="5"/>
      <x:c r="H210" s="5"/>
      <x:c r="I210" s="5"/>
      <x:c r="J210" s="24" t="str">
        <x:f>IFERROR(VLOOKUP(H210,Dados!$D$2:$F$63,2,0),"ERRO: VERIFICAR COMO DIRETORIA/CANAL")</x:f>
      </x:c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</x:row>
    <x:row r="211" ht="46.5" customHeight="1">
      <x:c r="A211" s="22" t="str">
        <x:f>IFERROR(VLOOKUP(C211,Dados!$A$4:$D$15,3,0),0)</x:f>
      </x:c>
      <x:c r="B211" s="25" t="str">
        <x:f>IFERROR(VLOOKUP(C211,Dados!$A$4:$B$13,2,0),"")</x:f>
      </x:c>
      <x:c r="C211" s="32"/>
      <x:c r="D211" s="5"/>
      <x:c r="E211" s="5"/>
      <x:c r="F211" s="5"/>
      <x:c r="G211" s="5"/>
      <x:c r="H211" s="5"/>
      <x:c r="I211" s="5"/>
      <x:c r="J211" s="24" t="str">
        <x:f>IFERROR(VLOOKUP(H211,Dados!$D$2:$F$63,2,0),"ERRO: VERIFICAR COMO DIRETORIA/CANAL")</x:f>
      </x:c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</x:row>
    <x:row r="212" ht="46.5" customHeight="1">
      <x:c r="A212" s="22" t="str">
        <x:f>IFERROR(VLOOKUP(C212,Dados!$A$4:$D$15,3,0),0)</x:f>
      </x:c>
      <x:c r="B212" s="25" t="str">
        <x:f>IFERROR(VLOOKUP(C212,Dados!$A$4:$B$13,2,0),"")</x:f>
      </x:c>
      <x:c r="C212" s="32"/>
      <x:c r="D212" s="5"/>
      <x:c r="E212" s="5"/>
      <x:c r="F212" s="5"/>
      <x:c r="G212" s="5"/>
      <x:c r="H212" s="5"/>
      <x:c r="I212" s="5"/>
      <x:c r="J212" s="24" t="str">
        <x:f>IFERROR(VLOOKUP(H212,Dados!$D$2:$F$63,2,0),"ERRO: VERIFICAR COMO DIRETORIA/CANAL")</x:f>
      </x:c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</x:row>
    <x:row r="213" ht="46.5" customHeight="1">
      <x:c r="A213" s="22" t="str">
        <x:f>IFERROR(VLOOKUP(C213,Dados!$A$4:$D$15,3,0),0)</x:f>
      </x:c>
      <x:c r="B213" s="25" t="str">
        <x:f>IFERROR(VLOOKUP(C213,Dados!$A$4:$B$13,2,0),"")</x:f>
      </x:c>
      <x:c r="C213" s="32"/>
      <x:c r="D213" s="5"/>
      <x:c r="E213" s="5"/>
      <x:c r="F213" s="5"/>
      <x:c r="G213" s="5"/>
      <x:c r="H213" s="5"/>
      <x:c r="I213" s="5"/>
      <x:c r="J213" s="24" t="str">
        <x:f>IFERROR(VLOOKUP(H213,Dados!$D$2:$F$63,2,0),"ERRO: VERIFICAR COMO DIRETORIA/CANAL")</x:f>
      </x:c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</x:row>
    <x:row r="214" ht="46.5" customHeight="1">
      <x:c r="A214" s="22" t="str">
        <x:f>IFERROR(VLOOKUP(C214,Dados!$A$4:$D$15,3,0),0)</x:f>
      </x:c>
      <x:c r="B214" s="25" t="str">
        <x:f>IFERROR(VLOOKUP(C214,Dados!$A$4:$B$13,2,0),"")</x:f>
      </x:c>
      <x:c r="C214" s="32"/>
      <x:c r="D214" s="5"/>
      <x:c r="E214" s="5"/>
      <x:c r="F214" s="5"/>
      <x:c r="G214" s="5"/>
      <x:c r="H214" s="5"/>
      <x:c r="I214" s="5"/>
      <x:c r="J214" s="24" t="str">
        <x:f>IFERROR(VLOOKUP(H214,Dados!$D$2:$F$63,2,0),"ERRO: VERIFICAR COMO DIRETORIA/CANAL")</x:f>
      </x:c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</x:row>
    <x:row r="215" ht="46.5" customHeight="1">
      <x:c r="A215" s="22" t="str">
        <x:f>IFERROR(VLOOKUP(C215,Dados!$A$4:$D$15,3,0),0)</x:f>
      </x:c>
      <x:c r="B215" s="25" t="str">
        <x:f>IFERROR(VLOOKUP(C215,Dados!$A$4:$B$13,2,0),"")</x:f>
      </x:c>
      <x:c r="C215" s="32"/>
      <x:c r="D215" s="5"/>
      <x:c r="E215" s="5"/>
      <x:c r="F215" s="5"/>
      <x:c r="G215" s="5"/>
      <x:c r="H215" s="5"/>
      <x:c r="I215" s="5"/>
      <x:c r="J215" s="24" t="str">
        <x:f>IFERROR(VLOOKUP(H215,Dados!$D$2:$F$63,2,0),"ERRO: VERIFICAR COMO DIRETORIA/CANAL")</x:f>
      </x:c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</x:row>
    <x:row r="216" ht="46.5" customHeight="1">
      <x:c r="A216" s="22" t="str">
        <x:f>IFERROR(VLOOKUP(C216,Dados!$A$4:$D$15,3,0),0)</x:f>
      </x:c>
      <x:c r="B216" s="25" t="str">
        <x:f>IFERROR(VLOOKUP(C216,Dados!$A$4:$B$13,2,0),"")</x:f>
      </x:c>
      <x:c r="C216" s="32"/>
      <x:c r="D216" s="5"/>
      <x:c r="E216" s="5"/>
      <x:c r="F216" s="5"/>
      <x:c r="G216" s="5"/>
      <x:c r="H216" s="5"/>
      <x:c r="I216" s="5"/>
      <x:c r="J216" s="24" t="str">
        <x:f>IFERROR(VLOOKUP(H216,Dados!$D$2:$F$63,2,0),"ERRO: VERIFICAR COMO DIRETORIA/CANAL")</x:f>
      </x:c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</x:row>
    <x:row r="217" ht="46.5" customHeight="1">
      <x:c r="A217" s="22" t="str">
        <x:f>IFERROR(VLOOKUP(C217,Dados!$A$4:$D$15,3,0),0)</x:f>
      </x:c>
      <x:c r="B217" s="25" t="str">
        <x:f>IFERROR(VLOOKUP(C217,Dados!$A$4:$B$13,2,0),"")</x:f>
      </x:c>
      <x:c r="C217" s="32"/>
      <x:c r="D217" s="5"/>
      <x:c r="E217" s="5"/>
      <x:c r="F217" s="5"/>
      <x:c r="G217" s="5"/>
      <x:c r="H217" s="5"/>
      <x:c r="I217" s="5"/>
      <x:c r="J217" s="24" t="str">
        <x:f>IFERROR(VLOOKUP(H217,Dados!$D$2:$F$63,2,0),"ERRO: VERIFICAR COMO DIRETORIA/CANAL")</x:f>
      </x:c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</x:row>
    <x:row r="218" ht="46.5" customHeight="1">
      <x:c r="A218" s="22" t="str">
        <x:f>IFERROR(VLOOKUP(C218,Dados!$A$4:$D$15,3,0),0)</x:f>
      </x:c>
      <x:c r="B218" s="25" t="str">
        <x:f>IFERROR(VLOOKUP(C218,Dados!$A$4:$B$13,2,0),"")</x:f>
      </x:c>
      <x:c r="C218" s="32"/>
      <x:c r="D218" s="5"/>
      <x:c r="E218" s="5"/>
      <x:c r="F218" s="5"/>
      <x:c r="G218" s="5"/>
      <x:c r="H218" s="5"/>
      <x:c r="I218" s="5"/>
      <x:c r="J218" s="24" t="str">
        <x:f>IFERROR(VLOOKUP(H218,Dados!$D$2:$F$63,2,0),"ERRO: VERIFICAR COMO DIRETORIA/CANAL")</x:f>
      </x:c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</x:row>
    <x:row r="219" ht="46.5" customHeight="1">
      <x:c r="A219" s="22" t="str">
        <x:f>IFERROR(VLOOKUP(C219,Dados!$A$4:$D$15,3,0),0)</x:f>
      </x:c>
      <x:c r="B219" s="25" t="str">
        <x:f>IFERROR(VLOOKUP(C219,Dados!$A$4:$B$13,2,0),"")</x:f>
      </x:c>
      <x:c r="C219" s="32"/>
      <x:c r="D219" s="5"/>
      <x:c r="E219" s="5"/>
      <x:c r="F219" s="5"/>
      <x:c r="G219" s="5"/>
      <x:c r="H219" s="5"/>
      <x:c r="I219" s="5"/>
      <x:c r="J219" s="24" t="str">
        <x:f>IFERROR(VLOOKUP(H219,Dados!$D$2:$F$63,2,0),"ERRO: VERIFICAR COMO DIRETORIA/CANAL")</x:f>
      </x:c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</x:row>
    <x:row r="220" ht="46.5" customHeight="1">
      <x:c r="A220" s="22" t="str">
        <x:f>IFERROR(VLOOKUP(C220,Dados!$A$4:$D$15,3,0),0)</x:f>
      </x:c>
      <x:c r="B220" s="25" t="str">
        <x:f>IFERROR(VLOOKUP(C220,Dados!$A$4:$B$13,2,0),"")</x:f>
      </x:c>
      <x:c r="C220" s="32"/>
      <x:c r="D220" s="5"/>
      <x:c r="E220" s="5"/>
      <x:c r="F220" s="5"/>
      <x:c r="G220" s="5"/>
      <x:c r="H220" s="5"/>
      <x:c r="I220" s="5"/>
      <x:c r="J220" s="24" t="str">
        <x:f>IFERROR(VLOOKUP(H220,Dados!$D$2:$F$63,2,0),"ERRO: VERIFICAR COMO DIRETORIA/CANAL")</x:f>
      </x:c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</x:row>
    <x:row r="221" ht="46.5" customHeight="1">
      <x:c r="A221" s="22" t="str">
        <x:f>IFERROR(VLOOKUP(C221,Dados!$A$4:$D$15,3,0),0)</x:f>
      </x:c>
      <x:c r="B221" s="25" t="str">
        <x:f>IFERROR(VLOOKUP(C221,Dados!$A$4:$B$13,2,0),"")</x:f>
      </x:c>
      <x:c r="C221" s="32"/>
      <x:c r="D221" s="5"/>
      <x:c r="E221" s="5"/>
      <x:c r="F221" s="5"/>
      <x:c r="G221" s="5"/>
      <x:c r="H221" s="5"/>
      <x:c r="I221" s="5"/>
      <x:c r="J221" s="24" t="str">
        <x:f>IFERROR(VLOOKUP(H221,Dados!$D$2:$F$63,2,0),"ERRO: VERIFICAR COMO DIRETORIA/CANAL")</x:f>
      </x:c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</x:row>
    <x:row r="222" ht="46.5" customHeight="1">
      <x:c r="A222" s="22" t="str">
        <x:f>IFERROR(VLOOKUP(C222,Dados!$A$4:$D$15,3,0),0)</x:f>
      </x:c>
      <x:c r="B222" s="25" t="str">
        <x:f>IFERROR(VLOOKUP(C222,Dados!$A$4:$B$13,2,0),"")</x:f>
      </x:c>
      <x:c r="C222" s="32"/>
      <x:c r="D222" s="5"/>
      <x:c r="E222" s="5"/>
      <x:c r="F222" s="5"/>
      <x:c r="G222" s="5"/>
      <x:c r="H222" s="5"/>
      <x:c r="I222" s="5"/>
      <x:c r="J222" s="24" t="str">
        <x:f>IFERROR(VLOOKUP(H222,Dados!$D$2:$F$63,2,0),"ERRO: VERIFICAR COMO DIRETORIA/CANAL")</x:f>
      </x:c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</x:row>
    <x:row r="223" ht="46.5" customHeight="1">
      <x:c r="A223" s="22" t="str">
        <x:f>IFERROR(VLOOKUP(C223,Dados!$A$4:$D$15,3,0),0)</x:f>
      </x:c>
      <x:c r="B223" s="25" t="str">
        <x:f>IFERROR(VLOOKUP(C223,Dados!$A$4:$B$13,2,0),"")</x:f>
      </x:c>
      <x:c r="C223" s="32"/>
      <x:c r="D223" s="5"/>
      <x:c r="E223" s="5"/>
      <x:c r="F223" s="5"/>
      <x:c r="G223" s="5"/>
      <x:c r="H223" s="5"/>
      <x:c r="I223" s="5"/>
      <x:c r="J223" s="24" t="str">
        <x:f>IFERROR(VLOOKUP(H223,Dados!$D$2:$F$63,2,0),"ERRO: VERIFICAR COMO DIRETORIA/CANAL")</x:f>
      </x:c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</x:row>
    <x:row r="224" ht="46.5" customHeight="1">
      <x:c r="A224" s="22" t="str">
        <x:f>IFERROR(VLOOKUP(C224,Dados!$A$4:$D$15,3,0),0)</x:f>
      </x:c>
      <x:c r="B224" s="25" t="str">
        <x:f>IFERROR(VLOOKUP(C224,Dados!$A$4:$B$13,2,0),"")</x:f>
      </x:c>
      <x:c r="C224" s="32"/>
      <x:c r="D224" s="5"/>
      <x:c r="E224" s="5"/>
      <x:c r="F224" s="5"/>
      <x:c r="G224" s="5"/>
      <x:c r="H224" s="5"/>
      <x:c r="I224" s="5"/>
      <x:c r="J224" s="24" t="str">
        <x:f>IFERROR(VLOOKUP(H224,Dados!$D$2:$F$63,2,0),"ERRO: VERIFICAR COMO DIRETORIA/CANAL")</x:f>
      </x:c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</x:row>
    <x:row r="225" ht="46.5" customHeight="1">
      <x:c r="A225" s="22" t="str">
        <x:f>IFERROR(VLOOKUP(C225,Dados!$A$4:$D$15,3,0),0)</x:f>
      </x:c>
      <x:c r="B225" s="25" t="str">
        <x:f>IFERROR(VLOOKUP(C225,Dados!$A$4:$B$13,2,0),"")</x:f>
      </x:c>
      <x:c r="C225" s="32"/>
      <x:c r="D225" s="5"/>
      <x:c r="E225" s="5"/>
      <x:c r="F225" s="5"/>
      <x:c r="G225" s="5"/>
      <x:c r="H225" s="5"/>
      <x:c r="I225" s="5"/>
      <x:c r="J225" s="24" t="str">
        <x:f>IFERROR(VLOOKUP(H225,Dados!$D$2:$F$63,2,0),"ERRO: VERIFICAR COMO DIRETORIA/CANAL")</x:f>
      </x:c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</x:row>
    <x:row r="226" ht="46.5" customHeight="1">
      <x:c r="A226" s="22" t="str">
        <x:f>IFERROR(VLOOKUP(C226,Dados!$A$4:$D$15,3,0),0)</x:f>
      </x:c>
      <x:c r="B226" s="25" t="str">
        <x:f>IFERROR(VLOOKUP(C226,Dados!$A$4:$B$13,2,0),"")</x:f>
      </x:c>
      <x:c r="C226" s="32"/>
      <x:c r="D226" s="5"/>
      <x:c r="E226" s="5"/>
      <x:c r="F226" s="5"/>
      <x:c r="G226" s="5"/>
      <x:c r="H226" s="5"/>
      <x:c r="I226" s="5"/>
      <x:c r="J226" s="24" t="str">
        <x:f>IFERROR(VLOOKUP(H226,Dados!$D$2:$F$63,2,0),"ERRO: VERIFICAR COMO DIRETORIA/CANAL")</x:f>
      </x:c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</x:row>
    <x:row r="227" ht="46.5" customHeight="1">
      <x:c r="A227" s="22" t="str">
        <x:f>IFERROR(VLOOKUP(C227,Dados!$A$4:$D$15,3,0),0)</x:f>
      </x:c>
      <x:c r="B227" s="25" t="str">
        <x:f>IFERROR(VLOOKUP(C227,Dados!$A$4:$B$13,2,0),"")</x:f>
      </x:c>
      <x:c r="C227" s="32"/>
      <x:c r="D227" s="5"/>
      <x:c r="E227" s="5"/>
      <x:c r="F227" s="5"/>
      <x:c r="G227" s="5"/>
      <x:c r="H227" s="5"/>
      <x:c r="I227" s="5"/>
      <x:c r="J227" s="24" t="str">
        <x:f>IFERROR(VLOOKUP(H227,Dados!$D$2:$F$63,2,0),"ERRO: VERIFICAR COMO DIRETORIA/CANAL")</x:f>
      </x:c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</x:row>
    <x:row r="228" ht="46.5" customHeight="1">
      <x:c r="A228" s="22" t="str">
        <x:f>IFERROR(VLOOKUP(C228,Dados!$A$4:$D$15,3,0),0)</x:f>
      </x:c>
      <x:c r="B228" s="25" t="str">
        <x:f>IFERROR(VLOOKUP(C228,Dados!$A$4:$B$13,2,0),"")</x:f>
      </x:c>
      <x:c r="C228" s="32"/>
      <x:c r="D228" s="5"/>
      <x:c r="E228" s="5"/>
      <x:c r="F228" s="5"/>
      <x:c r="G228" s="5"/>
      <x:c r="H228" s="5"/>
      <x:c r="I228" s="5"/>
      <x:c r="J228" s="24" t="str">
        <x:f>IFERROR(VLOOKUP(H228,Dados!$D$2:$F$63,2,0),"ERRO: VERIFICAR COMO DIRETORIA/CANAL")</x:f>
      </x:c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</x:row>
    <x:row r="229" ht="46.5" customHeight="1">
      <x:c r="A229" s="22" t="str">
        <x:f>IFERROR(VLOOKUP(C229,Dados!$A$4:$D$15,3,0),0)</x:f>
      </x:c>
      <x:c r="B229" s="25" t="str">
        <x:f>IFERROR(VLOOKUP(C229,Dados!$A$4:$B$13,2,0),"")</x:f>
      </x:c>
      <x:c r="C229" s="32"/>
      <x:c r="D229" s="5"/>
      <x:c r="E229" s="5"/>
      <x:c r="F229" s="5"/>
      <x:c r="G229" s="5"/>
      <x:c r="H229" s="5"/>
      <x:c r="I229" s="5"/>
      <x:c r="J229" s="24" t="str">
        <x:f>IFERROR(VLOOKUP(H229,Dados!$D$2:$F$63,2,0),"ERRO: VERIFICAR COMO DIRETORIA/CANAL")</x:f>
      </x:c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</x:row>
    <x:row r="230" ht="46.5" customHeight="1">
      <x:c r="A230" s="22" t="str">
        <x:f>IFERROR(VLOOKUP(C230,Dados!$A$4:$D$15,3,0),0)</x:f>
      </x:c>
      <x:c r="B230" s="25" t="str">
        <x:f>IFERROR(VLOOKUP(C230,Dados!$A$4:$B$13,2,0),"")</x:f>
      </x:c>
      <x:c r="C230" s="32"/>
      <x:c r="D230" s="5"/>
      <x:c r="E230" s="5"/>
      <x:c r="F230" s="5"/>
      <x:c r="G230" s="5"/>
      <x:c r="H230" s="5"/>
      <x:c r="I230" s="5"/>
      <x:c r="J230" s="24" t="str">
        <x:f>IFERROR(VLOOKUP(H230,Dados!$D$2:$F$63,2,0),"ERRO: VERIFICAR COMO DIRETORIA/CANAL")</x:f>
      </x:c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</x:row>
    <x:row r="231" ht="46.5" customHeight="1">
      <x:c r="A231" s="22" t="str">
        <x:f>IFERROR(VLOOKUP(C231,Dados!$A$4:$D$15,3,0),0)</x:f>
      </x:c>
      <x:c r="B231" s="25" t="str">
        <x:f>IFERROR(VLOOKUP(C231,Dados!$A$4:$B$13,2,0),"")</x:f>
      </x:c>
      <x:c r="C231" s="32"/>
      <x:c r="D231" s="5"/>
      <x:c r="E231" s="5"/>
      <x:c r="F231" s="5"/>
      <x:c r="G231" s="5"/>
      <x:c r="H231" s="5"/>
      <x:c r="I231" s="5"/>
      <x:c r="J231" s="24" t="str">
        <x:f>IFERROR(VLOOKUP(H231,Dados!$D$2:$F$63,2,0),"ERRO: VERIFICAR COMO DIRETORIA/CANAL")</x:f>
      </x:c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</x:row>
    <x:row r="232" ht="46.5" customHeight="1">
      <x:c r="A232" s="22" t="str">
        <x:f>IFERROR(VLOOKUP(C232,Dados!$A$4:$D$15,3,0),0)</x:f>
      </x:c>
      <x:c r="B232" s="25" t="str">
        <x:f>IFERROR(VLOOKUP(C232,Dados!$A$4:$B$13,2,0),"")</x:f>
      </x:c>
      <x:c r="C232" s="32"/>
      <x:c r="D232" s="5"/>
      <x:c r="E232" s="5"/>
      <x:c r="F232" s="5"/>
      <x:c r="G232" s="5"/>
      <x:c r="H232" s="5"/>
      <x:c r="I232" s="5"/>
      <x:c r="J232" s="24" t="str">
        <x:f>IFERROR(VLOOKUP(H232,Dados!$D$2:$F$63,2,0),"ERRO: VERIFICAR COMO DIRETORIA/CANAL")</x:f>
      </x:c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</x:row>
    <x:row r="233" ht="46.5" customHeight="1">
      <x:c r="A233" s="22" t="str">
        <x:f>IFERROR(VLOOKUP(C233,Dados!$A$4:$D$15,3,0),0)</x:f>
      </x:c>
      <x:c r="B233" s="25" t="str">
        <x:f>IFERROR(VLOOKUP(C233,Dados!$A$4:$B$13,2,0),"")</x:f>
      </x:c>
      <x:c r="C233" s="32"/>
      <x:c r="D233" s="5"/>
      <x:c r="E233" s="5"/>
      <x:c r="F233" s="5"/>
      <x:c r="G233" s="5"/>
      <x:c r="H233" s="5"/>
      <x:c r="I233" s="5"/>
      <x:c r="J233" s="24" t="str">
        <x:f>IFERROR(VLOOKUP(H233,Dados!$D$2:$F$63,2,0),"ERRO: VERIFICAR COMO DIRETORIA/CANAL")</x:f>
      </x:c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</x:row>
    <x:row r="234" ht="46.5" customHeight="1">
      <x:c r="A234" s="22" t="str">
        <x:f>IFERROR(VLOOKUP(C234,Dados!$A$4:$D$15,3,0),0)</x:f>
      </x:c>
      <x:c r="B234" s="25" t="str">
        <x:f>IFERROR(VLOOKUP(C234,Dados!$A$4:$B$13,2,0),"")</x:f>
      </x:c>
      <x:c r="C234" s="32"/>
      <x:c r="D234" s="5"/>
      <x:c r="E234" s="5"/>
      <x:c r="F234" s="5"/>
      <x:c r="G234" s="5"/>
      <x:c r="H234" s="5"/>
      <x:c r="I234" s="5"/>
      <x:c r="J234" s="24" t="str">
        <x:f>IFERROR(VLOOKUP(H234,Dados!$D$2:$F$63,2,0),"ERRO: VERIFICAR COMO DIRETORIA/CANAL")</x:f>
      </x:c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</x:row>
    <x:row r="235" ht="46.5" customHeight="1">
      <x:c r="A235" s="22" t="str">
        <x:f>IFERROR(VLOOKUP(C235,Dados!$A$4:$D$15,3,0),0)</x:f>
      </x:c>
      <x:c r="B235" s="25" t="str">
        <x:f>IFERROR(VLOOKUP(C235,Dados!$A$4:$B$13,2,0),"")</x:f>
      </x:c>
      <x:c r="C235" s="32"/>
      <x:c r="D235" s="5"/>
      <x:c r="E235" s="5"/>
      <x:c r="F235" s="5"/>
      <x:c r="G235" s="5"/>
      <x:c r="H235" s="5"/>
      <x:c r="I235" s="5"/>
      <x:c r="J235" s="24" t="str">
        <x:f>IFERROR(VLOOKUP(H235,Dados!$D$2:$F$63,2,0),"ERRO: VERIFICAR COMO DIRETORIA/CANAL")</x:f>
      </x:c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</x:row>
    <x:row r="236" ht="46.5" customHeight="1">
      <x:c r="A236" s="22" t="str">
        <x:f>IFERROR(VLOOKUP(C236,Dados!$A$4:$D$15,3,0),0)</x:f>
      </x:c>
      <x:c r="B236" s="25" t="str">
        <x:f>IFERROR(VLOOKUP(C236,Dados!$A$4:$B$13,2,0),"")</x:f>
      </x:c>
      <x:c r="C236" s="32"/>
      <x:c r="D236" s="5"/>
      <x:c r="E236" s="5"/>
      <x:c r="F236" s="5"/>
      <x:c r="G236" s="5"/>
      <x:c r="H236" s="5"/>
      <x:c r="I236" s="5"/>
      <x:c r="J236" s="24" t="str">
        <x:f>IFERROR(VLOOKUP(H236,Dados!$D$2:$F$63,2,0),"ERRO: VERIFICAR COMO DIRETORIA/CANAL")</x:f>
      </x:c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</x:row>
    <x:row r="237" ht="46.5" customHeight="1">
      <x:c r="A237" s="22" t="str">
        <x:f>IFERROR(VLOOKUP(C237,Dados!$A$4:$D$15,3,0),0)</x:f>
      </x:c>
      <x:c r="B237" s="25" t="str">
        <x:f>IFERROR(VLOOKUP(C237,Dados!$A$4:$B$13,2,0),"")</x:f>
      </x:c>
      <x:c r="C237" s="32"/>
      <x:c r="D237" s="5"/>
      <x:c r="E237" s="5"/>
      <x:c r="F237" s="5"/>
      <x:c r="G237" s="5"/>
      <x:c r="H237" s="5"/>
      <x:c r="I237" s="5"/>
      <x:c r="J237" s="24" t="str">
        <x:f>IFERROR(VLOOKUP(H237,Dados!$D$2:$F$63,2,0),"ERRO: VERIFICAR COMO DIRETORIA/CANAL")</x:f>
      </x:c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</x:row>
    <x:row r="238" ht="46.5" customHeight="1">
      <x:c r="A238" s="22" t="str">
        <x:f>IFERROR(VLOOKUP(C238,Dados!$A$4:$D$15,3,0),0)</x:f>
      </x:c>
      <x:c r="B238" s="25" t="str">
        <x:f>IFERROR(VLOOKUP(C238,Dados!$A$4:$B$13,2,0),"")</x:f>
      </x:c>
      <x:c r="C238" s="32"/>
      <x:c r="D238" s="5"/>
      <x:c r="E238" s="5"/>
      <x:c r="F238" s="5"/>
      <x:c r="G238" s="5"/>
      <x:c r="H238" s="5"/>
      <x:c r="I238" s="5"/>
      <x:c r="J238" s="24" t="str">
        <x:f>IFERROR(VLOOKUP(H238,Dados!$D$2:$F$63,2,0),"ERRO: VERIFICAR COMO DIRETORIA/CANAL")</x:f>
      </x:c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</x:row>
    <x:row r="239" ht="46.5" customHeight="1">
      <x:c r="A239" s="22" t="str">
        <x:f>IFERROR(VLOOKUP(C239,Dados!$A$4:$D$15,3,0),0)</x:f>
      </x:c>
      <x:c r="B239" s="25" t="str">
        <x:f>IFERROR(VLOOKUP(C239,Dados!$A$4:$B$13,2,0),"")</x:f>
      </x:c>
      <x:c r="C239" s="32"/>
      <x:c r="D239" s="5"/>
      <x:c r="E239" s="5"/>
      <x:c r="F239" s="5"/>
      <x:c r="G239" s="5"/>
      <x:c r="H239" s="5"/>
      <x:c r="I239" s="5"/>
      <x:c r="J239" s="24" t="str">
        <x:f>IFERROR(VLOOKUP(H239,Dados!$D$2:$F$63,2,0),"ERRO: VERIFICAR COMO DIRETORIA/CANAL")</x:f>
      </x:c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</x:row>
    <x:row r="240" ht="46.5" customHeight="1">
      <x:c r="A240" s="22" t="str">
        <x:f>IFERROR(VLOOKUP(C240,Dados!$A$4:$D$15,3,0),0)</x:f>
      </x:c>
      <x:c r="B240" s="25" t="str">
        <x:f>IFERROR(VLOOKUP(C240,Dados!$A$4:$B$13,2,0),"")</x:f>
      </x:c>
      <x:c r="C240" s="32"/>
      <x:c r="D240" s="5"/>
      <x:c r="E240" s="5"/>
      <x:c r="F240" s="5"/>
      <x:c r="G240" s="5"/>
      <x:c r="H240" s="5"/>
      <x:c r="I240" s="5"/>
      <x:c r="J240" s="24" t="str">
        <x:f>IFERROR(VLOOKUP(H240,Dados!$D$2:$F$63,2,0),"ERRO: VERIFICAR COMO DIRETORIA/CANAL")</x:f>
      </x:c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</x:row>
    <x:row r="241" ht="46.5" customHeight="1">
      <x:c r="A241" s="22" t="str">
        <x:f>IFERROR(VLOOKUP(C241,Dados!$A$4:$D$15,3,0),0)</x:f>
      </x:c>
      <x:c r="B241" s="25" t="str">
        <x:f>IFERROR(VLOOKUP(C241,Dados!$A$4:$B$13,2,0),"")</x:f>
      </x:c>
      <x:c r="C241" s="32"/>
      <x:c r="D241" s="5"/>
      <x:c r="E241" s="5"/>
      <x:c r="F241" s="5"/>
      <x:c r="G241" s="5"/>
      <x:c r="H241" s="5"/>
      <x:c r="I241" s="5"/>
      <x:c r="J241" s="24" t="str">
        <x:f>IFERROR(VLOOKUP(H241,Dados!$D$2:$F$63,2,0),"ERRO: VERIFICAR COMO DIRETORIA/CANAL")</x:f>
      </x:c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</x:row>
    <x:row r="242" ht="46.5" customHeight="1">
      <x:c r="A242" s="22" t="str">
        <x:f>IFERROR(VLOOKUP(C242,Dados!$A$4:$D$15,3,0),0)</x:f>
      </x:c>
      <x:c r="B242" s="25" t="str">
        <x:f>IFERROR(VLOOKUP(C242,Dados!$A$4:$B$13,2,0),"")</x:f>
      </x:c>
      <x:c r="C242" s="32"/>
      <x:c r="D242" s="5"/>
      <x:c r="E242" s="5"/>
      <x:c r="F242" s="5"/>
      <x:c r="G242" s="5"/>
      <x:c r="H242" s="5"/>
      <x:c r="I242" s="5"/>
      <x:c r="J242" s="24" t="str">
        <x:f>IFERROR(VLOOKUP(H242,Dados!$D$2:$F$63,2,0),"ERRO: VERIFICAR COMO DIRETORIA/CANAL")</x:f>
      </x:c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</x:row>
    <x:row r="243" ht="46.5" customHeight="1">
      <x:c r="A243" s="22" t="str">
        <x:f>IFERROR(VLOOKUP(C243,Dados!$A$4:$D$15,3,0),0)</x:f>
      </x:c>
      <x:c r="B243" s="25" t="str">
        <x:f>IFERROR(VLOOKUP(C243,Dados!$A$4:$B$13,2,0),"")</x:f>
      </x:c>
      <x:c r="C243" s="32"/>
      <x:c r="D243" s="5"/>
      <x:c r="E243" s="5"/>
      <x:c r="F243" s="5"/>
      <x:c r="G243" s="5"/>
      <x:c r="H243" s="5"/>
      <x:c r="I243" s="5"/>
      <x:c r="J243" s="24" t="str">
        <x:f>IFERROR(VLOOKUP(H243,Dados!$D$2:$F$63,2,0),"ERRO: VERIFICAR COMO DIRETORIA/CANAL")</x:f>
      </x:c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</x:row>
    <x:row r="244" ht="46.5" customHeight="1">
      <x:c r="A244" s="22" t="str">
        <x:f>IFERROR(VLOOKUP(C244,Dados!$A$4:$D$15,3,0),0)</x:f>
      </x:c>
      <x:c r="B244" s="25" t="str">
        <x:f>IFERROR(VLOOKUP(C244,Dados!$A$4:$B$13,2,0),"")</x:f>
      </x:c>
      <x:c r="C244" s="32"/>
      <x:c r="D244" s="5"/>
      <x:c r="E244" s="5"/>
      <x:c r="F244" s="5"/>
      <x:c r="G244" s="5"/>
      <x:c r="H244" s="5"/>
      <x:c r="I244" s="5"/>
      <x:c r="J244" s="24" t="str">
        <x:f>IFERROR(VLOOKUP(H244,Dados!$D$2:$F$63,2,0),"ERRO: VERIFICAR COMO DIRETORIA/CANAL")</x:f>
      </x:c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</x:row>
    <x:row r="245" ht="46.5" customHeight="1">
      <x:c r="A245" s="22" t="str">
        <x:f>IFERROR(VLOOKUP(C245,Dados!$A$4:$D$15,3,0),0)</x:f>
      </x:c>
      <x:c r="B245" s="25" t="str">
        <x:f>IFERROR(VLOOKUP(C245,Dados!$A$4:$B$13,2,0),"")</x:f>
      </x:c>
      <x:c r="C245" s="32"/>
      <x:c r="D245" s="5"/>
      <x:c r="E245" s="5"/>
      <x:c r="F245" s="5"/>
      <x:c r="G245" s="5"/>
      <x:c r="H245" s="5"/>
      <x:c r="I245" s="5"/>
      <x:c r="J245" s="24" t="str">
        <x:f>IFERROR(VLOOKUP(H245,Dados!$D$2:$F$63,2,0),"ERRO: VERIFICAR COMO DIRETORIA/CANAL")</x:f>
      </x:c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</x:row>
    <x:row r="246" ht="46.5" customHeight="1">
      <x:c r="A246" s="22" t="str">
        <x:f>IFERROR(VLOOKUP(C246,Dados!$A$4:$D$15,3,0),0)</x:f>
      </x:c>
      <x:c r="B246" s="25" t="str">
        <x:f>IFERROR(VLOOKUP(C246,Dados!$A$4:$B$13,2,0),"")</x:f>
      </x:c>
      <x:c r="C246" s="32"/>
      <x:c r="D246" s="5"/>
      <x:c r="E246" s="5"/>
      <x:c r="F246" s="5"/>
      <x:c r="G246" s="5"/>
      <x:c r="H246" s="5"/>
      <x:c r="I246" s="5"/>
      <x:c r="J246" s="24" t="str">
        <x:f>IFERROR(VLOOKUP(H246,Dados!$D$2:$F$63,2,0),"ERRO: VERIFICAR COMO DIRETORIA/CANAL")</x:f>
      </x:c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</x:row>
    <x:row r="247" ht="46.5" customHeight="1">
      <x:c r="A247" s="22" t="str">
        <x:f>IFERROR(VLOOKUP(C247,Dados!$A$4:$D$15,3,0),0)</x:f>
      </x:c>
      <x:c r="B247" s="25" t="str">
        <x:f>IFERROR(VLOOKUP(C247,Dados!$A$4:$B$13,2,0),"")</x:f>
      </x:c>
      <x:c r="C247" s="32"/>
      <x:c r="D247" s="5"/>
      <x:c r="E247" s="5"/>
      <x:c r="F247" s="5"/>
      <x:c r="G247" s="5"/>
      <x:c r="H247" s="5"/>
      <x:c r="I247" s="5"/>
      <x:c r="J247" s="24" t="str">
        <x:f>IFERROR(VLOOKUP(H247,Dados!$D$2:$F$63,2,0),"ERRO: VERIFICAR COMO DIRETORIA/CANAL")</x:f>
      </x:c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</x:row>
    <x:row r="248" ht="46.5" customHeight="1">
      <x:c r="A248" s="22" t="str">
        <x:f>IFERROR(VLOOKUP(C248,Dados!$A$4:$D$15,3,0),0)</x:f>
      </x:c>
      <x:c r="B248" s="25" t="str">
        <x:f>IFERROR(VLOOKUP(C248,Dados!$A$4:$B$13,2,0),"")</x:f>
      </x:c>
      <x:c r="C248" s="32"/>
      <x:c r="D248" s="5"/>
      <x:c r="E248" s="5"/>
      <x:c r="F248" s="5"/>
      <x:c r="G248" s="5"/>
      <x:c r="H248" s="5"/>
      <x:c r="I248" s="5"/>
      <x:c r="J248" s="24" t="str">
        <x:f>IFERROR(VLOOKUP(H248,Dados!$D$2:$F$63,2,0),"ERRO: VERIFICAR COMO DIRETORIA/CANAL")</x:f>
      </x:c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</x:row>
    <x:row r="249" ht="46.5" customHeight="1">
      <x:c r="A249" s="22" t="str">
        <x:f>IFERROR(VLOOKUP(C249,Dados!$A$4:$D$15,3,0),0)</x:f>
      </x:c>
      <x:c r="B249" s="25" t="str">
        <x:f>IFERROR(VLOOKUP(C249,Dados!$A$4:$B$13,2,0),"")</x:f>
      </x:c>
      <x:c r="C249" s="32"/>
      <x:c r="D249" s="5"/>
      <x:c r="E249" s="5"/>
      <x:c r="F249" s="5"/>
      <x:c r="G249" s="5"/>
      <x:c r="H249" s="5"/>
      <x:c r="I249" s="5"/>
      <x:c r="J249" s="24" t="str">
        <x:f>IFERROR(VLOOKUP(H249,Dados!$D$2:$F$63,2,0),"ERRO: VERIFICAR COMO DIRETORIA/CANAL")</x:f>
      </x:c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</x:row>
    <x:row r="250" ht="46.5" customHeight="1">
      <x:c r="A250" s="22" t="str">
        <x:f>IFERROR(VLOOKUP(C250,Dados!$A$4:$D$15,3,0),0)</x:f>
      </x:c>
      <x:c r="B250" s="25" t="str">
        <x:f>IFERROR(VLOOKUP(C250,Dados!$A$4:$B$13,2,0),"")</x:f>
      </x:c>
      <x:c r="C250" s="32"/>
      <x:c r="D250" s="5"/>
      <x:c r="E250" s="5"/>
      <x:c r="F250" s="5"/>
      <x:c r="G250" s="5"/>
      <x:c r="H250" s="5"/>
      <x:c r="I250" s="5"/>
      <x:c r="J250" s="24" t="str">
        <x:f>IFERROR(VLOOKUP(H250,Dados!$D$2:$F$63,2,0),"ERRO: VERIFICAR COMO DIRETORIA/CANAL")</x:f>
      </x:c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</x:row>
    <x:row r="251" ht="46.5" customHeight="1">
      <x:c r="A251" s="22" t="str">
        <x:f>IFERROR(VLOOKUP(C251,Dados!$A$4:$D$15,3,0),0)</x:f>
      </x:c>
      <x:c r="B251" s="25" t="str">
        <x:f>IFERROR(VLOOKUP(C251,Dados!$A$4:$B$13,2,0),"")</x:f>
      </x:c>
      <x:c r="C251" s="32"/>
      <x:c r="D251" s="5"/>
      <x:c r="E251" s="5"/>
      <x:c r="F251" s="5"/>
      <x:c r="G251" s="5"/>
      <x:c r="H251" s="5"/>
      <x:c r="I251" s="5"/>
      <x:c r="J251" s="24" t="str">
        <x:f>IFERROR(VLOOKUP(H251,Dados!$D$2:$F$63,2,0),"ERRO: VERIFICAR COMO DIRETORIA/CANAL")</x:f>
      </x:c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</x:row>
    <x:row r="252" ht="46.5" customHeight="1">
      <x:c r="A252" s="22" t="str">
        <x:f>IFERROR(VLOOKUP(C252,Dados!$A$4:$D$15,3,0),0)</x:f>
      </x:c>
      <x:c r="B252" s="25" t="str">
        <x:f>IFERROR(VLOOKUP(C252,Dados!$A$4:$B$13,2,0),"")</x:f>
      </x:c>
      <x:c r="C252" s="32"/>
      <x:c r="D252" s="5"/>
      <x:c r="E252" s="5"/>
      <x:c r="F252" s="5"/>
      <x:c r="G252" s="5"/>
      <x:c r="H252" s="5"/>
      <x:c r="I252" s="5"/>
      <x:c r="J252" s="24" t="str">
        <x:f>IFERROR(VLOOKUP(H252,Dados!$D$2:$F$63,2,0),"ERRO: VERIFICAR COMO DIRETORIA/CANAL")</x:f>
      </x:c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</x:row>
    <x:row r="253" ht="46.5" customHeight="1">
      <x:c r="A253" s="22" t="str">
        <x:f>IFERROR(VLOOKUP(C253,Dados!$A$4:$D$15,3,0),0)</x:f>
      </x:c>
      <x:c r="B253" s="25" t="str">
        <x:f>IFERROR(VLOOKUP(C253,Dados!$A$4:$B$13,2,0),"")</x:f>
      </x:c>
      <x:c r="C253" s="32"/>
      <x:c r="D253" s="5"/>
      <x:c r="E253" s="5"/>
      <x:c r="F253" s="5"/>
      <x:c r="G253" s="5"/>
      <x:c r="H253" s="5"/>
      <x:c r="I253" s="5"/>
      <x:c r="J253" s="24" t="str">
        <x:f>IFERROR(VLOOKUP(H253,Dados!$D$2:$F$63,2,0),"ERRO: VERIFICAR COMO DIRETORIA/CANAL")</x:f>
      </x:c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</x:row>
    <x:row r="254" ht="46.5" customHeight="1">
      <x:c r="A254" s="22" t="str">
        <x:f>IFERROR(VLOOKUP(C254,Dados!$A$4:$D$15,3,0),0)</x:f>
      </x:c>
      <x:c r="B254" s="25" t="str">
        <x:f>IFERROR(VLOOKUP(C254,Dados!$A$4:$B$13,2,0),"")</x:f>
      </x:c>
      <x:c r="C254" s="32"/>
      <x:c r="D254" s="5"/>
      <x:c r="E254" s="5"/>
      <x:c r="F254" s="5"/>
      <x:c r="G254" s="5"/>
      <x:c r="H254" s="5"/>
      <x:c r="I254" s="5"/>
      <x:c r="J254" s="24" t="str">
        <x:f>IFERROR(VLOOKUP(H254,Dados!$D$2:$F$63,2,0),"ERRO: VERIFICAR COMO DIRETORIA/CANAL")</x:f>
      </x:c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</x:row>
    <x:row r="255" ht="46.5" customHeight="1">
      <x:c r="A255" s="22" t="str">
        <x:f>IFERROR(VLOOKUP(C255,Dados!$A$4:$D$15,3,0),0)</x:f>
      </x:c>
      <x:c r="B255" s="25" t="str">
        <x:f>IFERROR(VLOOKUP(C255,Dados!$A$4:$B$13,2,0),"")</x:f>
      </x:c>
      <x:c r="C255" s="32"/>
      <x:c r="D255" s="5"/>
      <x:c r="E255" s="5"/>
      <x:c r="F255" s="5"/>
      <x:c r="G255" s="5"/>
      <x:c r="H255" s="5"/>
      <x:c r="I255" s="5"/>
      <x:c r="J255" s="24" t="str">
        <x:f>IFERROR(VLOOKUP(H255,Dados!$D$2:$F$63,2,0),"ERRO: VERIFICAR COMO DIRETORIA/CANAL")</x:f>
      </x:c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ht="46.5" customHeight="1">
      <x:c r="A256" s="22" t="str">
        <x:f>IFERROR(VLOOKUP(C256,Dados!$A$4:$D$15,3,0),0)</x:f>
      </x:c>
      <x:c r="B256" s="25" t="str">
        <x:f>IFERROR(VLOOKUP(C256,Dados!$A$4:$B$13,2,0),"")</x:f>
      </x:c>
      <x:c r="C256" s="32"/>
      <x:c r="D256" s="5"/>
      <x:c r="E256" s="5"/>
      <x:c r="F256" s="5"/>
      <x:c r="G256" s="5"/>
      <x:c r="H256" s="5"/>
      <x:c r="I256" s="5"/>
      <x:c r="J256" s="24" t="str">
        <x:f>IFERROR(VLOOKUP(H256,Dados!$D$2:$F$63,2,0),"ERRO: VERIFICAR COMO DIRETORIA/CANAL")</x:f>
      </x:c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ht="46.5" customHeight="1">
      <x:c r="A257" s="22" t="str">
        <x:f>IFERROR(VLOOKUP(C257,Dados!$A$4:$D$15,3,0),0)</x:f>
      </x:c>
      <x:c r="B257" s="25" t="str">
        <x:f>IFERROR(VLOOKUP(C257,Dados!$A$4:$B$13,2,0),"")</x:f>
      </x:c>
      <x:c r="C257" s="32"/>
      <x:c r="D257" s="5"/>
      <x:c r="E257" s="5"/>
      <x:c r="F257" s="5"/>
      <x:c r="G257" s="5"/>
      <x:c r="H257" s="5"/>
      <x:c r="I257" s="5"/>
      <x:c r="J257" s="24" t="str">
        <x:f>IFERROR(VLOOKUP(H257,Dados!$D$2:$F$63,2,0),"ERRO: VERIFICAR COMO DIRETORIA/CANAL")</x:f>
      </x:c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ht="46.5" customHeight="1">
      <x:c r="A258" s="22" t="str">
        <x:f>IFERROR(VLOOKUP(C258,Dados!$A$4:$D$15,3,0),0)</x:f>
      </x:c>
      <x:c r="B258" s="25" t="str">
        <x:f>IFERROR(VLOOKUP(C258,Dados!$A$4:$B$13,2,0),"")</x:f>
      </x:c>
      <x:c r="C258" s="32"/>
      <x:c r="D258" s="5"/>
      <x:c r="E258" s="5"/>
      <x:c r="F258" s="5"/>
      <x:c r="G258" s="5"/>
      <x:c r="H258" s="5"/>
      <x:c r="I258" s="5"/>
      <x:c r="J258" s="24" t="str">
        <x:f>IFERROR(VLOOKUP(H258,Dados!$D$2:$F$63,2,0),"ERRO: VERIFICAR COMO DIRETORIA/CANAL")</x:f>
      </x:c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ht="46.5" customHeight="1">
      <x:c r="A259" s="22" t="str">
        <x:f>IFERROR(VLOOKUP(C259,Dados!$A$4:$D$15,3,0),0)</x:f>
      </x:c>
      <x:c r="B259" s="25" t="str">
        <x:f>IFERROR(VLOOKUP(C259,Dados!$A$4:$B$13,2,0),"")</x:f>
      </x:c>
      <x:c r="C259" s="32"/>
      <x:c r="D259" s="5"/>
      <x:c r="E259" s="5"/>
      <x:c r="F259" s="5"/>
      <x:c r="G259" s="5"/>
      <x:c r="H259" s="5"/>
      <x:c r="I259" s="5"/>
      <x:c r="J259" s="24" t="str">
        <x:f>IFERROR(VLOOKUP(H259,Dados!$D$2:$F$63,2,0),"ERRO: VERIFICAR COMO DIRETORIA/CANAL")</x:f>
      </x:c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 ht="46.5" customHeight="1">
      <x:c r="A260" s="22" t="str">
        <x:f>IFERROR(VLOOKUP(C260,Dados!$A$4:$D$15,3,0),0)</x:f>
      </x:c>
      <x:c r="B260" s="25" t="str">
        <x:f>IFERROR(VLOOKUP(C260,Dados!$A$4:$B$13,2,0),"")</x:f>
      </x:c>
      <x:c r="C260" s="32"/>
      <x:c r="D260" s="5"/>
      <x:c r="E260" s="5"/>
      <x:c r="F260" s="5"/>
      <x:c r="G260" s="5"/>
      <x:c r="H260" s="5"/>
      <x:c r="I260" s="5"/>
      <x:c r="J260" s="24" t="str">
        <x:f>IFERROR(VLOOKUP(H260,Dados!$D$2:$F$63,2,0),"ERRO: VERIFICAR COMO DIRETORIA/CANAL")</x:f>
      </x:c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</x:row>
    <x:row r="261" ht="46.5" customHeight="1">
      <x:c r="A261" s="22" t="str">
        <x:f>IFERROR(VLOOKUP(C261,Dados!$A$4:$D$15,3,0),0)</x:f>
      </x:c>
      <x:c r="B261" s="25" t="str">
        <x:f>IFERROR(VLOOKUP(C261,Dados!$A$4:$B$13,2,0),"")</x:f>
      </x:c>
      <x:c r="C261" s="32"/>
      <x:c r="D261" s="5"/>
      <x:c r="E261" s="5"/>
      <x:c r="F261" s="5"/>
      <x:c r="G261" s="5"/>
      <x:c r="H261" s="5"/>
      <x:c r="I261" s="5"/>
      <x:c r="J261" s="24" t="str">
        <x:f>IFERROR(VLOOKUP(H261,Dados!$D$2:$F$63,2,0),"ERRO: VERIFICAR COMO DIRETORIA/CANAL")</x:f>
      </x:c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</x:row>
    <x:row r="262" ht="46.5" customHeight="1">
      <x:c r="A262" s="22" t="str">
        <x:f>IFERROR(VLOOKUP(C262,Dados!$A$4:$D$15,3,0),0)</x:f>
      </x:c>
      <x:c r="B262" s="25" t="str">
        <x:f>IFERROR(VLOOKUP(C262,Dados!$A$4:$B$13,2,0),"")</x:f>
      </x:c>
      <x:c r="C262" s="32"/>
      <x:c r="D262" s="5"/>
      <x:c r="E262" s="5"/>
      <x:c r="F262" s="5"/>
      <x:c r="G262" s="5"/>
      <x:c r="H262" s="5"/>
      <x:c r="I262" s="5"/>
      <x:c r="J262" s="24" t="str">
        <x:f>IFERROR(VLOOKUP(H262,Dados!$D$2:$F$63,2,0),"ERRO: VERIFICAR COMO DIRETORIA/CANAL")</x:f>
      </x:c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</x:row>
    <x:row r="263" ht="46.5" customHeight="1">
      <x:c r="A263" s="22" t="str">
        <x:f>IFERROR(VLOOKUP(C263,Dados!$A$4:$D$15,3,0),0)</x:f>
      </x:c>
      <x:c r="B263" s="25" t="str">
        <x:f>IFERROR(VLOOKUP(C263,Dados!$A$4:$B$13,2,0),"")</x:f>
      </x:c>
      <x:c r="C263" s="32"/>
      <x:c r="D263" s="5"/>
      <x:c r="E263" s="5"/>
      <x:c r="F263" s="5"/>
      <x:c r="G263" s="5"/>
      <x:c r="H263" s="5"/>
      <x:c r="I263" s="5"/>
      <x:c r="J263" s="24" t="str">
        <x:f>IFERROR(VLOOKUP(H263,Dados!$D$2:$F$63,2,0),"ERRO: VERIFICAR COMO DIRETORIA/CANAL")</x:f>
      </x:c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</x:row>
    <x:row r="264" ht="46.5" customHeight="1">
      <x:c r="A264" s="22" t="str">
        <x:f>IFERROR(VLOOKUP(C264,Dados!$A$4:$D$15,3,0),0)</x:f>
      </x:c>
      <x:c r="B264" s="25" t="str">
        <x:f>IFERROR(VLOOKUP(C264,Dados!$A$4:$B$13,2,0),"")</x:f>
      </x:c>
      <x:c r="C264" s="32"/>
      <x:c r="D264" s="5"/>
      <x:c r="E264" s="5"/>
      <x:c r="F264" s="5"/>
      <x:c r="G264" s="5"/>
      <x:c r="H264" s="5"/>
      <x:c r="I264" s="5"/>
      <x:c r="J264" s="24" t="str">
        <x:f>IFERROR(VLOOKUP(H264,Dados!$D$2:$F$63,2,0),"ERRO: VERIFICAR COMO DIRETORIA/CANAL")</x:f>
      </x:c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</x:row>
    <x:row r="265" ht="46.5" customHeight="1">
      <x:c r="A265" s="22" t="str">
        <x:f>IFERROR(VLOOKUP(C265,Dados!$A$4:$D$15,3,0),0)</x:f>
      </x:c>
      <x:c r="B265" s="25" t="str">
        <x:f>IFERROR(VLOOKUP(C265,Dados!$A$4:$B$13,2,0),"")</x:f>
      </x:c>
      <x:c r="C265" s="32"/>
      <x:c r="D265" s="5"/>
      <x:c r="E265" s="5"/>
      <x:c r="F265" s="5"/>
      <x:c r="G265" s="5"/>
      <x:c r="H265" s="5"/>
      <x:c r="I265" s="5"/>
      <x:c r="J265" s="24" t="str">
        <x:f>IFERROR(VLOOKUP(H265,Dados!$D$2:$F$63,2,0),"ERRO: VERIFICAR COMO DIRETORIA/CANAL")</x:f>
      </x:c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</x:row>
    <x:row r="266" ht="46.5" customHeight="1">
      <x:c r="A266" s="22" t="str">
        <x:f>IFERROR(VLOOKUP(C266,Dados!$A$4:$D$15,3,0),0)</x:f>
      </x:c>
      <x:c r="B266" s="25" t="str">
        <x:f>IFERROR(VLOOKUP(C266,Dados!$A$4:$B$13,2,0),"")</x:f>
      </x:c>
      <x:c r="C266" s="32"/>
      <x:c r="D266" s="5"/>
      <x:c r="E266" s="5"/>
      <x:c r="F266" s="5"/>
      <x:c r="G266" s="5"/>
      <x:c r="H266" s="5"/>
      <x:c r="I266" s="5"/>
      <x:c r="J266" s="24" t="str">
        <x:f>IFERROR(VLOOKUP(H266,Dados!$D$2:$F$63,2,0),"ERRO: VERIFICAR COMO DIRETORIA/CANAL")</x:f>
      </x:c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</x:row>
    <x:row r="267" ht="46.5" customHeight="1">
      <x:c r="A267" s="22" t="str">
        <x:f>IFERROR(VLOOKUP(C267,Dados!$A$4:$D$15,3,0),0)</x:f>
      </x:c>
      <x:c r="B267" s="25" t="str">
        <x:f>IFERROR(VLOOKUP(C267,Dados!$A$4:$B$13,2,0),"")</x:f>
      </x:c>
      <x:c r="C267" s="32"/>
      <x:c r="D267" s="5"/>
      <x:c r="E267" s="5"/>
      <x:c r="F267" s="5"/>
      <x:c r="G267" s="5"/>
      <x:c r="H267" s="5"/>
      <x:c r="I267" s="5"/>
      <x:c r="J267" s="24" t="str">
        <x:f>IFERROR(VLOOKUP(H267,Dados!$D$2:$F$63,2,0),"ERRO: VERIFICAR COMO DIRETORIA/CANAL")</x:f>
      </x:c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</x:row>
    <x:row r="268" ht="46.5" customHeight="1">
      <x:c r="A268" s="22" t="str">
        <x:f>IFERROR(VLOOKUP(C268,Dados!$A$4:$D$15,3,0),0)</x:f>
      </x:c>
      <x:c r="B268" s="25" t="str">
        <x:f>IFERROR(VLOOKUP(C268,Dados!$A$4:$B$13,2,0),"")</x:f>
      </x:c>
      <x:c r="C268" s="32"/>
      <x:c r="D268" s="5"/>
      <x:c r="E268" s="5"/>
      <x:c r="F268" s="5"/>
      <x:c r="G268" s="5"/>
      <x:c r="H268" s="5"/>
      <x:c r="I268" s="5"/>
      <x:c r="J268" s="24" t="str">
        <x:f>IFERROR(VLOOKUP(H268,Dados!$D$2:$F$63,2,0),"ERRO: VERIFICAR COMO DIRETORIA/CANAL")</x:f>
      </x:c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</x:row>
    <x:row r="269" ht="46.5" customHeight="1">
      <x:c r="A269" s="22" t="str">
        <x:f>IFERROR(VLOOKUP(C269,Dados!$A$4:$D$15,3,0),0)</x:f>
      </x:c>
      <x:c r="B269" s="25" t="str">
        <x:f>IFERROR(VLOOKUP(C269,Dados!$A$4:$B$13,2,0),"")</x:f>
      </x:c>
      <x:c r="C269" s="32"/>
      <x:c r="D269" s="5"/>
      <x:c r="E269" s="5"/>
      <x:c r="F269" s="5"/>
      <x:c r="G269" s="5"/>
      <x:c r="H269" s="5"/>
      <x:c r="I269" s="5"/>
      <x:c r="J269" s="24" t="str">
        <x:f>IFERROR(VLOOKUP(H269,Dados!$D$2:$F$63,2,0),"ERRO: VERIFICAR COMO DIRETORIA/CANAL")</x:f>
      </x:c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</x:row>
    <x:row r="270" ht="46.5" customHeight="1">
      <x:c r="A270" s="22" t="str">
        <x:f>IFERROR(VLOOKUP(C270,Dados!$A$4:$D$15,3,0),0)</x:f>
      </x:c>
      <x:c r="B270" s="25" t="str">
        <x:f>IFERROR(VLOOKUP(C270,Dados!$A$4:$B$13,2,0),"")</x:f>
      </x:c>
      <x:c r="C270" s="32"/>
      <x:c r="D270" s="5"/>
      <x:c r="E270" s="5"/>
      <x:c r="F270" s="5"/>
      <x:c r="G270" s="5"/>
      <x:c r="H270" s="5"/>
      <x:c r="I270" s="5"/>
      <x:c r="J270" s="24" t="str">
        <x:f>IFERROR(VLOOKUP(H270,Dados!$D$2:$F$63,2,0),"ERRO: VERIFICAR COMO DIRETORIA/CANAL")</x:f>
      </x:c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</x:row>
    <x:row r="271" ht="46.5" customHeight="1">
      <x:c r="A271" s="22" t="str">
        <x:f>IFERROR(VLOOKUP(C271,Dados!$A$4:$D$15,3,0),0)</x:f>
      </x:c>
      <x:c r="B271" s="25" t="str">
        <x:f>IFERROR(VLOOKUP(C271,Dados!$A$4:$B$13,2,0),"")</x:f>
      </x:c>
      <x:c r="C271" s="32"/>
      <x:c r="D271" s="5"/>
      <x:c r="E271" s="5"/>
      <x:c r="F271" s="5"/>
      <x:c r="G271" s="5"/>
      <x:c r="H271" s="5"/>
      <x:c r="I271" s="5"/>
      <x:c r="J271" s="24" t="str">
        <x:f>IFERROR(VLOOKUP(H271,Dados!$D$2:$F$63,2,0),"ERRO: VERIFICAR COMO DIRETORIA/CANAL")</x:f>
      </x:c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</x:row>
    <x:row r="272" ht="46.5" customHeight="1">
      <x:c r="A272" s="22" t="str">
        <x:f>IFERROR(VLOOKUP(C272,Dados!$A$4:$D$15,3,0),0)</x:f>
      </x:c>
      <x:c r="B272" s="25" t="str">
        <x:f>IFERROR(VLOOKUP(C272,Dados!$A$4:$B$13,2,0),"")</x:f>
      </x:c>
      <x:c r="C272" s="32"/>
      <x:c r="D272" s="5"/>
      <x:c r="E272" s="5"/>
      <x:c r="F272" s="5"/>
      <x:c r="G272" s="5"/>
      <x:c r="H272" s="5"/>
      <x:c r="I272" s="5"/>
      <x:c r="J272" s="24" t="str">
        <x:f>IFERROR(VLOOKUP(H272,Dados!$D$2:$F$63,2,0),"ERRO: VERIFICAR COMO DIRETORIA/CANAL")</x:f>
      </x:c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</x:row>
    <x:row r="273" ht="46.5" customHeight="1">
      <x:c r="A273" s="22" t="str">
        <x:f>IFERROR(VLOOKUP(C273,Dados!$A$4:$D$15,3,0),0)</x:f>
      </x:c>
      <x:c r="B273" s="25" t="str">
        <x:f>IFERROR(VLOOKUP(C273,Dados!$A$4:$B$13,2,0),"")</x:f>
      </x:c>
      <x:c r="C273" s="32"/>
      <x:c r="D273" s="5"/>
      <x:c r="E273" s="5"/>
      <x:c r="F273" s="5"/>
      <x:c r="G273" s="5"/>
      <x:c r="H273" s="5"/>
      <x:c r="I273" s="5"/>
      <x:c r="J273" s="24" t="str">
        <x:f>IFERROR(VLOOKUP(H273,Dados!$D$2:$F$63,2,0),"ERRO: VERIFICAR COMO DIRETORIA/CANAL")</x:f>
      </x:c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</x:row>
    <x:row r="274" ht="46.5" customHeight="1">
      <x:c r="A274" s="22" t="str">
        <x:f>IFERROR(VLOOKUP(C274,Dados!$A$4:$D$15,3,0),0)</x:f>
      </x:c>
      <x:c r="B274" s="25" t="str">
        <x:f>IFERROR(VLOOKUP(C274,Dados!$A$4:$B$13,2,0),"")</x:f>
      </x:c>
      <x:c r="C274" s="32"/>
      <x:c r="D274" s="5"/>
      <x:c r="E274" s="5"/>
      <x:c r="F274" s="5"/>
      <x:c r="G274" s="5"/>
      <x:c r="H274" s="5"/>
      <x:c r="I274" s="5"/>
      <x:c r="J274" s="24" t="str">
        <x:f>IFERROR(VLOOKUP(H274,Dados!$D$2:$F$63,2,0),"ERRO: VERIFICAR COMO DIRETORIA/CANAL")</x:f>
      </x:c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</x:row>
    <x:row r="275" ht="46.5" customHeight="1">
      <x:c r="A275" s="22" t="str">
        <x:f>IFERROR(VLOOKUP(C275,Dados!$A$4:$D$15,3,0),0)</x:f>
      </x:c>
      <x:c r="B275" s="25" t="str">
        <x:f>IFERROR(VLOOKUP(C275,Dados!$A$4:$B$13,2,0),"")</x:f>
      </x:c>
      <x:c r="C275" s="32"/>
      <x:c r="D275" s="5"/>
      <x:c r="E275" s="5"/>
      <x:c r="F275" s="5"/>
      <x:c r="G275" s="5"/>
      <x:c r="H275" s="5"/>
      <x:c r="I275" s="5"/>
      <x:c r="J275" s="24" t="str">
        <x:f>IFERROR(VLOOKUP(H275,Dados!$D$2:$F$63,2,0),"ERRO: VERIFICAR COMO DIRETORIA/CANAL")</x:f>
      </x:c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</x:row>
    <x:row r="276" ht="46.5" customHeight="1">
      <x:c r="A276" s="22" t="str">
        <x:f>IFERROR(VLOOKUP(C276,Dados!$A$4:$D$15,3,0),0)</x:f>
      </x:c>
      <x:c r="B276" s="25" t="str">
        <x:f>IFERROR(VLOOKUP(C276,Dados!$A$4:$B$13,2,0),"")</x:f>
      </x:c>
      <x:c r="C276" s="32"/>
      <x:c r="D276" s="5"/>
      <x:c r="E276" s="5"/>
      <x:c r="F276" s="5"/>
      <x:c r="G276" s="5"/>
      <x:c r="H276" s="5"/>
      <x:c r="I276" s="5"/>
      <x:c r="J276" s="24" t="str">
        <x:f>IFERROR(VLOOKUP(H276,Dados!$D$2:$F$63,2,0),"ERRO: VERIFICAR COMO DIRETORIA/CANAL")</x:f>
      </x:c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</x:row>
    <x:row r="277" ht="46.5" customHeight="1">
      <x:c r="A277" s="22" t="str">
        <x:f>IFERROR(VLOOKUP(C277,Dados!$A$4:$D$15,3,0),0)</x:f>
      </x:c>
      <x:c r="B277" s="25" t="str">
        <x:f>IFERROR(VLOOKUP(C277,Dados!$A$4:$B$13,2,0),"")</x:f>
      </x:c>
      <x:c r="C277" s="32"/>
      <x:c r="D277" s="5"/>
      <x:c r="E277" s="5"/>
      <x:c r="F277" s="5"/>
      <x:c r="G277" s="5"/>
      <x:c r="H277" s="5"/>
      <x:c r="I277" s="5"/>
      <x:c r="J277" s="24" t="str">
        <x:f>IFERROR(VLOOKUP(H277,Dados!$D$2:$F$63,2,0),"ERRO: VERIFICAR COMO DIRETORIA/CANAL")</x:f>
      </x:c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</x:row>
    <x:row r="278" ht="46.5" customHeight="1">
      <x:c r="A278" s="22" t="str">
        <x:f>IFERROR(VLOOKUP(C278,Dados!$A$4:$D$15,3,0),0)</x:f>
      </x:c>
      <x:c r="B278" s="25" t="str">
        <x:f>IFERROR(VLOOKUP(C278,Dados!$A$4:$B$13,2,0),"")</x:f>
      </x:c>
      <x:c r="C278" s="32"/>
      <x:c r="D278" s="5"/>
      <x:c r="E278" s="5"/>
      <x:c r="F278" s="5"/>
      <x:c r="G278" s="5"/>
      <x:c r="H278" s="5"/>
      <x:c r="I278" s="5"/>
      <x:c r="J278" s="24" t="str">
        <x:f>IFERROR(VLOOKUP(H278,Dados!$D$2:$F$63,2,0),"ERRO: VERIFICAR COMO DIRETORIA/CANAL")</x:f>
      </x:c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</x:row>
    <x:row r="279" ht="46.5" customHeight="1">
      <x:c r="A279" s="22" t="str">
        <x:f>IFERROR(VLOOKUP(C279,Dados!$A$4:$D$15,3,0),0)</x:f>
      </x:c>
      <x:c r="B279" s="25" t="str">
        <x:f>IFERROR(VLOOKUP(C279,Dados!$A$4:$B$13,2,0),"")</x:f>
      </x:c>
      <x:c r="C279" s="32"/>
      <x:c r="D279" s="5"/>
      <x:c r="E279" s="5"/>
      <x:c r="F279" s="5"/>
      <x:c r="G279" s="5"/>
      <x:c r="H279" s="5"/>
      <x:c r="I279" s="5"/>
      <x:c r="J279" s="24" t="str">
        <x:f>IFERROR(VLOOKUP(H279,Dados!$D$2:$F$63,2,0),"ERRO: VERIFICAR COMO DIRETORIA/CANAL")</x:f>
      </x:c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</x:row>
    <x:row r="280" ht="46.5" customHeight="1">
      <x:c r="A280" s="22" t="str">
        <x:f>IFERROR(VLOOKUP(C280,Dados!$A$4:$D$15,3,0),0)</x:f>
      </x:c>
      <x:c r="B280" s="25" t="str">
        <x:f>IFERROR(VLOOKUP(C280,Dados!$A$4:$B$13,2,0),"")</x:f>
      </x:c>
      <x:c r="C280" s="32"/>
      <x:c r="D280" s="5"/>
      <x:c r="E280" s="5"/>
      <x:c r="F280" s="5"/>
      <x:c r="G280" s="5"/>
      <x:c r="H280" s="5"/>
      <x:c r="I280" s="5"/>
      <x:c r="J280" s="24" t="str">
        <x:f>IFERROR(VLOOKUP(H280,Dados!$D$2:$F$63,2,0),"ERRO: VERIFICAR COMO DIRETORIA/CANAL")</x:f>
      </x:c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</x:row>
    <x:row r="281" ht="46.5" customHeight="1">
      <x:c r="A281" s="22" t="str">
        <x:f>IFERROR(VLOOKUP(C281,Dados!$A$4:$D$15,3,0),0)</x:f>
      </x:c>
      <x:c r="B281" s="25" t="str">
        <x:f>IFERROR(VLOOKUP(C281,Dados!$A$4:$B$13,2,0),"")</x:f>
      </x:c>
      <x:c r="C281" s="32"/>
      <x:c r="D281" s="5"/>
      <x:c r="E281" s="5"/>
      <x:c r="F281" s="5"/>
      <x:c r="G281" s="5"/>
      <x:c r="H281" s="5"/>
      <x:c r="I281" s="5"/>
      <x:c r="J281" s="24" t="str">
        <x:f>IFERROR(VLOOKUP(H281,Dados!$D$2:$F$63,2,0),"ERRO: VERIFICAR COMO DIRETORIA/CANAL")</x:f>
      </x:c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</x:row>
    <x:row r="282" ht="46.5" customHeight="1">
      <x:c r="A282" s="22" t="str">
        <x:f>IFERROR(VLOOKUP(C282,Dados!$A$4:$D$15,3,0),0)</x:f>
      </x:c>
      <x:c r="B282" s="25" t="str">
        <x:f>IFERROR(VLOOKUP(C282,Dados!$A$4:$B$13,2,0),"")</x:f>
      </x:c>
      <x:c r="C282" s="32"/>
      <x:c r="D282" s="5"/>
      <x:c r="E282" s="5"/>
      <x:c r="F282" s="5"/>
      <x:c r="G282" s="5"/>
      <x:c r="H282" s="5"/>
      <x:c r="I282" s="5"/>
      <x:c r="J282" s="24" t="str">
        <x:f>IFERROR(VLOOKUP(H282,Dados!$D$2:$F$63,2,0),"ERRO: VERIFICAR COMO DIRETORIA/CANAL")</x:f>
      </x:c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</x:row>
    <x:row r="283" ht="46.5" customHeight="1">
      <x:c r="A283" s="22" t="str">
        <x:f>IFERROR(VLOOKUP(C283,Dados!$A$4:$D$15,3,0),0)</x:f>
      </x:c>
      <x:c r="B283" s="25" t="str">
        <x:f>IFERROR(VLOOKUP(C283,Dados!$A$4:$B$13,2,0),"")</x:f>
      </x:c>
      <x:c r="C283" s="32"/>
      <x:c r="D283" s="5"/>
      <x:c r="E283" s="5"/>
      <x:c r="F283" s="5"/>
      <x:c r="G283" s="5"/>
      <x:c r="H283" s="5"/>
      <x:c r="I283" s="5"/>
      <x:c r="J283" s="24" t="str">
        <x:f>IFERROR(VLOOKUP(H283,Dados!$D$2:$F$63,2,0),"ERRO: VERIFICAR COMO DIRETORIA/CANAL")</x:f>
      </x:c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</x:row>
    <x:row r="284" ht="46.5" customHeight="1">
      <x:c r="A284" s="22" t="str">
        <x:f>IFERROR(VLOOKUP(C284,Dados!$A$4:$D$15,3,0),0)</x:f>
      </x:c>
      <x:c r="B284" s="25" t="str">
        <x:f>IFERROR(VLOOKUP(C284,Dados!$A$4:$B$13,2,0),"")</x:f>
      </x:c>
      <x:c r="C284" s="32"/>
      <x:c r="D284" s="5"/>
      <x:c r="E284" s="5"/>
      <x:c r="F284" s="5"/>
      <x:c r="G284" s="5"/>
      <x:c r="H284" s="5"/>
      <x:c r="I284" s="5"/>
      <x:c r="J284" s="24" t="str">
        <x:f>IFERROR(VLOOKUP(H284,Dados!$D$2:$F$63,2,0),"ERRO: VERIFICAR COMO DIRETORIA/CANAL")</x:f>
      </x:c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</x:row>
    <x:row r="285" ht="46.5" customHeight="1">
      <x:c r="A285" s="22" t="str">
        <x:f>IFERROR(VLOOKUP(C285,Dados!$A$4:$D$15,3,0),0)</x:f>
      </x:c>
      <x:c r="B285" s="25" t="str">
        <x:f>IFERROR(VLOOKUP(C285,Dados!$A$4:$B$13,2,0),"")</x:f>
      </x:c>
      <x:c r="C285" s="32"/>
      <x:c r="D285" s="5"/>
      <x:c r="E285" s="5"/>
      <x:c r="F285" s="5"/>
      <x:c r="G285" s="5"/>
      <x:c r="H285" s="5"/>
      <x:c r="I285" s="5"/>
      <x:c r="J285" s="24" t="str">
        <x:f>IFERROR(VLOOKUP(H285,Dados!$D$2:$F$63,2,0),"ERRO: VERIFICAR COMO DIRETORIA/CANAL")</x:f>
      </x:c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</x:row>
    <x:row r="286" ht="46.5" customHeight="1">
      <x:c r="A286" s="22" t="str">
        <x:f>IFERROR(VLOOKUP(C286,Dados!$A$4:$D$15,3,0),0)</x:f>
      </x:c>
      <x:c r="B286" s="25" t="str">
        <x:f>IFERROR(VLOOKUP(C286,Dados!$A$4:$B$13,2,0),"")</x:f>
      </x:c>
      <x:c r="C286" s="32"/>
      <x:c r="D286" s="5"/>
      <x:c r="E286" s="5"/>
      <x:c r="F286" s="5"/>
      <x:c r="G286" s="5"/>
      <x:c r="H286" s="5"/>
      <x:c r="I286" s="5"/>
      <x:c r="J286" s="24" t="str">
        <x:f>IFERROR(VLOOKUP(H286,Dados!$D$2:$F$63,2,0),"ERRO: VERIFICAR COMO DIRETORIA/CANAL")</x:f>
      </x:c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</x:row>
    <x:row r="287" ht="46.5" customHeight="1">
      <x:c r="A287" s="22" t="str">
        <x:f>IFERROR(VLOOKUP(C287,Dados!$A$4:$D$15,3,0),0)</x:f>
      </x:c>
      <x:c r="B287" s="25" t="str">
        <x:f>IFERROR(VLOOKUP(C287,Dados!$A$4:$B$13,2,0),"")</x:f>
      </x:c>
      <x:c r="C287" s="32"/>
      <x:c r="D287" s="5"/>
      <x:c r="E287" s="5"/>
      <x:c r="F287" s="5"/>
      <x:c r="G287" s="5"/>
      <x:c r="H287" s="5"/>
      <x:c r="I287" s="5"/>
      <x:c r="J287" s="24" t="str">
        <x:f>IFERROR(VLOOKUP(H287,Dados!$D$2:$F$63,2,0),"ERRO: VERIFICAR COMO DIRETORIA/CANAL")</x:f>
      </x:c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</x:row>
    <x:row r="288" ht="46.5" customHeight="1">
      <x:c r="A288" s="22" t="str">
        <x:f>IFERROR(VLOOKUP(C288,Dados!$A$4:$D$15,3,0),0)</x:f>
      </x:c>
      <x:c r="B288" s="25" t="str">
        <x:f>IFERROR(VLOOKUP(C288,Dados!$A$4:$B$13,2,0),"")</x:f>
      </x:c>
      <x:c r="C288" s="32"/>
      <x:c r="D288" s="5"/>
      <x:c r="E288" s="5"/>
      <x:c r="F288" s="5"/>
      <x:c r="G288" s="5"/>
      <x:c r="H288" s="5"/>
      <x:c r="I288" s="5"/>
      <x:c r="J288" s="24" t="str">
        <x:f>IFERROR(VLOOKUP(H288,Dados!$D$2:$F$63,2,0),"ERRO: VERIFICAR COMO DIRETORIA/CANAL")</x:f>
      </x:c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</x:row>
    <x:row r="289" ht="46.5" customHeight="1">
      <x:c r="A289" s="22" t="str">
        <x:f>IFERROR(VLOOKUP(C289,Dados!$A$4:$D$15,3,0),0)</x:f>
      </x:c>
      <x:c r="B289" s="25" t="str">
        <x:f>IFERROR(VLOOKUP(C289,Dados!$A$4:$B$13,2,0),"")</x:f>
      </x:c>
      <x:c r="C289" s="32"/>
      <x:c r="D289" s="5"/>
      <x:c r="E289" s="5"/>
      <x:c r="F289" s="5"/>
      <x:c r="G289" s="5"/>
      <x:c r="H289" s="5"/>
      <x:c r="I289" s="5"/>
      <x:c r="J289" s="24" t="str">
        <x:f>IFERROR(VLOOKUP(H289,Dados!$D$2:$F$63,2,0),"ERRO: VERIFICAR COMO DIRETORIA/CANAL")</x:f>
      </x:c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</x:row>
    <x:row r="290" ht="46.5" customHeight="1">
      <x:c r="A290" s="22" t="str">
        <x:f>IFERROR(VLOOKUP(C290,Dados!$A$4:$D$15,3,0),0)</x:f>
      </x:c>
      <x:c r="B290" s="25" t="str">
        <x:f>IFERROR(VLOOKUP(C290,Dados!$A$4:$B$13,2,0),"")</x:f>
      </x:c>
      <x:c r="C290" s="32"/>
      <x:c r="D290" s="5"/>
      <x:c r="E290" s="5"/>
      <x:c r="F290" s="5"/>
      <x:c r="G290" s="5"/>
      <x:c r="H290" s="5"/>
      <x:c r="I290" s="5"/>
      <x:c r="J290" s="24" t="str">
        <x:f>IFERROR(VLOOKUP(H290,Dados!$D$2:$F$63,2,0),"ERRO: VERIFICAR COMO DIRETORIA/CANAL")</x:f>
      </x:c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</x:row>
    <x:row r="291" ht="46.5" customHeight="1">
      <x:c r="A291" s="22" t="str">
        <x:f>IFERROR(VLOOKUP(C291,Dados!$A$4:$D$15,3,0),0)</x:f>
      </x:c>
      <x:c r="B291" s="25" t="str">
        <x:f>IFERROR(VLOOKUP(C291,Dados!$A$4:$B$13,2,0),"")</x:f>
      </x:c>
      <x:c r="C291" s="32"/>
      <x:c r="D291" s="5"/>
      <x:c r="E291" s="5"/>
      <x:c r="F291" s="5"/>
      <x:c r="G291" s="5"/>
      <x:c r="H291" s="5"/>
      <x:c r="I291" s="5"/>
      <x:c r="J291" s="24" t="str">
        <x:f>IFERROR(VLOOKUP(H291,Dados!$D$2:$F$63,2,0),"ERRO: VERIFICAR COMO DIRETORIA/CANAL")</x:f>
      </x:c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</x:row>
    <x:row r="292" ht="46.5" customHeight="1">
      <x:c r="A292" s="22" t="str">
        <x:f>IFERROR(VLOOKUP(C292,Dados!$A$4:$D$15,3,0),0)</x:f>
      </x:c>
      <x:c r="B292" s="25" t="str">
        <x:f>IFERROR(VLOOKUP(C292,Dados!$A$4:$B$13,2,0),"")</x:f>
      </x:c>
      <x:c r="C292" s="32"/>
      <x:c r="D292" s="5"/>
      <x:c r="E292" s="5"/>
      <x:c r="F292" s="5"/>
      <x:c r="G292" s="5"/>
      <x:c r="H292" s="5"/>
      <x:c r="I292" s="5"/>
      <x:c r="J292" s="24" t="str">
        <x:f>IFERROR(VLOOKUP(H292,Dados!$D$2:$F$63,2,0),"ERRO: VERIFICAR COMO DIRETORIA/CANAL")</x:f>
      </x:c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</x:row>
    <x:row r="293" ht="46.5" customHeight="1">
      <x:c r="A293" s="22" t="str">
        <x:f>IFERROR(VLOOKUP(C293,Dados!$A$4:$D$15,3,0),0)</x:f>
      </x:c>
      <x:c r="B293" s="25" t="str">
        <x:f>IFERROR(VLOOKUP(C293,Dados!$A$4:$B$13,2,0),"")</x:f>
      </x:c>
      <x:c r="C293" s="32"/>
      <x:c r="D293" s="5"/>
      <x:c r="E293" s="5"/>
      <x:c r="F293" s="5"/>
      <x:c r="G293" s="5"/>
      <x:c r="H293" s="5"/>
      <x:c r="I293" s="5"/>
      <x:c r="J293" s="24" t="str">
        <x:f>IFERROR(VLOOKUP(H293,Dados!$D$2:$F$63,2,0),"ERRO: VERIFICAR COMO DIRETORIA/CANAL")</x:f>
      </x:c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</x:row>
    <x:row r="294" ht="46.5" customHeight="1">
      <x:c r="A294" s="22" t="str">
        <x:f>IFERROR(VLOOKUP(C294,Dados!$A$4:$D$15,3,0),0)</x:f>
      </x:c>
      <x:c r="B294" s="25" t="str">
        <x:f>IFERROR(VLOOKUP(C294,Dados!$A$4:$B$13,2,0),"")</x:f>
      </x:c>
      <x:c r="C294" s="32"/>
      <x:c r="D294" s="5"/>
      <x:c r="E294" s="5"/>
      <x:c r="F294" s="5"/>
      <x:c r="G294" s="5"/>
      <x:c r="H294" s="5"/>
      <x:c r="I294" s="5"/>
      <x:c r="J294" s="24" t="str">
        <x:f>IFERROR(VLOOKUP(H294,Dados!$D$2:$F$63,2,0),"ERRO: VERIFICAR COMO DIRETORIA/CANAL")</x:f>
      </x:c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</x:row>
    <x:row r="295" ht="46.5" customHeight="1">
      <x:c r="A295" s="22" t="str">
        <x:f>IFERROR(VLOOKUP(C295,Dados!$A$4:$D$15,3,0),0)</x:f>
      </x:c>
      <x:c r="B295" s="25" t="str">
        <x:f>IFERROR(VLOOKUP(C295,Dados!$A$4:$B$13,2,0),"")</x:f>
      </x:c>
      <x:c r="C295" s="32"/>
      <x:c r="D295" s="5"/>
      <x:c r="E295" s="5"/>
      <x:c r="F295" s="5"/>
      <x:c r="G295" s="5"/>
      <x:c r="H295" s="5"/>
      <x:c r="I295" s="5"/>
      <x:c r="J295" s="24" t="str">
        <x:f>IFERROR(VLOOKUP(H295,Dados!$D$2:$F$63,2,0),"ERRO: VERIFICAR COMO DIRETORIA/CANAL")</x:f>
      </x:c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ht="46.5" customHeight="1">
      <x:c r="A296" s="22" t="str">
        <x:f>IFERROR(VLOOKUP(C296,Dados!$A$4:$D$15,3,0),0)</x:f>
      </x:c>
      <x:c r="B296" s="25" t="str">
        <x:f>IFERROR(VLOOKUP(C296,Dados!$A$4:$B$13,2,0),"")</x:f>
      </x:c>
      <x:c r="C296" s="32"/>
      <x:c r="D296" s="5"/>
      <x:c r="E296" s="5"/>
      <x:c r="F296" s="5"/>
      <x:c r="G296" s="5"/>
      <x:c r="H296" s="5"/>
      <x:c r="I296" s="5"/>
      <x:c r="J296" s="24" t="str">
        <x:f>IFERROR(VLOOKUP(H296,Dados!$D$2:$F$63,2,0),"ERRO: VERIFICAR COMO DIRETORIA/CANAL")</x:f>
      </x:c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ht="46.5" customHeight="1">
      <x:c r="A297" s="22" t="str">
        <x:f>IFERROR(VLOOKUP(C297,Dados!$A$4:$D$15,3,0),0)</x:f>
      </x:c>
      <x:c r="B297" s="25" t="str">
        <x:f>IFERROR(VLOOKUP(C297,Dados!$A$4:$B$13,2,0),"")</x:f>
      </x:c>
      <x:c r="C297" s="32"/>
      <x:c r="D297" s="5"/>
      <x:c r="E297" s="5"/>
      <x:c r="F297" s="5"/>
      <x:c r="G297" s="5"/>
      <x:c r="H297" s="5"/>
      <x:c r="I297" s="5"/>
      <x:c r="J297" s="24" t="str">
        <x:f>IFERROR(VLOOKUP(H297,Dados!$D$2:$F$63,2,0),"ERRO: VERIFICAR COMO DIRETORIA/CANAL")</x:f>
      </x:c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</x:row>
    <x:row r="298" ht="46.5" customHeight="1">
      <x:c r="A298" s="22" t="str">
        <x:f>IFERROR(VLOOKUP(C298,Dados!$A$4:$D$15,3,0),0)</x:f>
      </x:c>
      <x:c r="B298" s="25" t="str">
        <x:f>IFERROR(VLOOKUP(C298,Dados!$A$4:$B$13,2,0),"")</x:f>
      </x:c>
      <x:c r="C298" s="32"/>
      <x:c r="D298" s="5"/>
      <x:c r="E298" s="5"/>
      <x:c r="F298" s="5"/>
      <x:c r="G298" s="5"/>
      <x:c r="H298" s="5"/>
      <x:c r="I298" s="5"/>
      <x:c r="J298" s="24" t="str">
        <x:f>IFERROR(VLOOKUP(H298,Dados!$D$2:$F$63,2,0),"ERRO: VERIFICAR COMO DIRETORIA/CANAL")</x:f>
      </x:c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</x:row>
    <x:row r="299" ht="46.5" customHeight="1">
      <x:c r="A299" s="22" t="str">
        <x:f>IFERROR(VLOOKUP(C299,Dados!$A$4:$D$15,3,0),0)</x:f>
      </x:c>
      <x:c r="B299" s="25" t="str">
        <x:f>IFERROR(VLOOKUP(C299,Dados!$A$4:$B$13,2,0),"")</x:f>
      </x:c>
      <x:c r="C299" s="32"/>
      <x:c r="D299" s="5"/>
      <x:c r="E299" s="5"/>
      <x:c r="F299" s="5"/>
      <x:c r="G299" s="5"/>
      <x:c r="H299" s="5"/>
      <x:c r="I299" s="5"/>
      <x:c r="J299" s="24" t="str">
        <x:f>IFERROR(VLOOKUP(H299,Dados!$D$2:$F$63,2,0),"ERRO: VERIFICAR COMO DIRETORIA/CANAL")</x:f>
      </x:c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</x:row>
    <x:row r="300" ht="46.5" customHeight="1">
      <x:c r="A300" s="22" t="str">
        <x:f>IFERROR(VLOOKUP(C300,Dados!$A$4:$D$15,3,0),0)</x:f>
      </x:c>
      <x:c r="B300" s="25" t="str">
        <x:f>IFERROR(VLOOKUP(C300,Dados!$A$4:$B$13,2,0),"")</x:f>
      </x:c>
      <x:c r="C300" s="32"/>
      <x:c r="D300" s="5"/>
      <x:c r="E300" s="5"/>
      <x:c r="F300" s="5"/>
      <x:c r="G300" s="5"/>
      <x:c r="H300" s="5"/>
      <x:c r="I300" s="5"/>
      <x:c r="J300" s="24" t="str">
        <x:f>IFERROR(VLOOKUP(H300,Dados!$D$2:$F$63,2,0),"ERRO: VERIFICAR COMO DIRETORIA/CANAL")</x:f>
      </x:c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</x:row>
    <x:row r="301" ht="46.5" customHeight="1">
      <x:c r="A301" s="22" t="str">
        <x:f>IFERROR(VLOOKUP(C301,Dados!$A$4:$D$15,3,0),0)</x:f>
      </x:c>
      <x:c r="B301" s="25" t="str">
        <x:f>IFERROR(VLOOKUP(C301,Dados!$A$4:$B$13,2,0),"")</x:f>
      </x:c>
      <x:c r="C301" s="32"/>
      <x:c r="D301" s="5"/>
      <x:c r="E301" s="5"/>
      <x:c r="F301" s="5"/>
      <x:c r="G301" s="5"/>
      <x:c r="H301" s="5"/>
      <x:c r="I301" s="5"/>
      <x:c r="J301" s="24" t="str">
        <x:f>IFERROR(VLOOKUP(H301,Dados!$D$2:$F$63,2,0),"ERRO: VERIFICAR COMO DIRETORIA/CANAL")</x:f>
      </x:c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ht="46.5" customHeight="1">
      <x:c r="A302" s="22" t="str">
        <x:f>IFERROR(VLOOKUP(C302,Dados!$A$4:$D$15,3,0),0)</x:f>
      </x:c>
      <x:c r="B302" s="25" t="str">
        <x:f>IFERROR(VLOOKUP(C302,Dados!$A$4:$B$13,2,0),"")</x:f>
      </x:c>
      <x:c r="C302" s="32"/>
      <x:c r="D302" s="5"/>
      <x:c r="E302" s="5"/>
      <x:c r="F302" s="5"/>
      <x:c r="G302" s="5"/>
      <x:c r="H302" s="5"/>
      <x:c r="I302" s="5"/>
      <x:c r="J302" s="24" t="str">
        <x:f>IFERROR(VLOOKUP(H302,Dados!$D$2:$F$63,2,0),"ERRO: VERIFICAR COMO DIRETORIA/CANAL")</x:f>
      </x:c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ht="46.5" customHeight="1">
      <x:c r="A303" s="22" t="str">
        <x:f>IFERROR(VLOOKUP(C303,Dados!$A$4:$D$15,3,0),0)</x:f>
      </x:c>
      <x:c r="B303" s="25" t="str">
        <x:f>IFERROR(VLOOKUP(C303,Dados!$A$4:$B$13,2,0),"")</x:f>
      </x:c>
      <x:c r="C303" s="32"/>
      <x:c r="D303" s="5"/>
      <x:c r="E303" s="5"/>
      <x:c r="F303" s="5"/>
      <x:c r="G303" s="5"/>
      <x:c r="H303" s="5"/>
      <x:c r="I303" s="5"/>
      <x:c r="J303" s="24" t="str">
        <x:f>IFERROR(VLOOKUP(H303,Dados!$D$2:$F$63,2,0),"ERRO: VERIFICAR COMO DIRETORIA/CANAL")</x:f>
      </x:c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ht="46.5" customHeight="1">
      <x:c r="A304" s="22" t="str">
        <x:f>IFERROR(VLOOKUP(C304,Dados!$A$4:$D$15,3,0),0)</x:f>
      </x:c>
      <x:c r="B304" s="25" t="str">
        <x:f>IFERROR(VLOOKUP(C304,Dados!$A$4:$B$13,2,0),"")</x:f>
      </x:c>
      <x:c r="C304" s="32"/>
      <x:c r="D304" s="5"/>
      <x:c r="E304" s="5"/>
      <x:c r="F304" s="5"/>
      <x:c r="G304" s="5"/>
      <x:c r="H304" s="5"/>
      <x:c r="I304" s="5"/>
      <x:c r="J304" s="24" t="str">
        <x:f>IFERROR(VLOOKUP(H304,Dados!$D$2:$F$63,2,0),"ERRO: VERIFICAR COMO DIRETORIA/CANAL")</x:f>
      </x:c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</x:row>
    <x:row r="305" ht="46.5" customHeight="1">
      <x:c r="A305" s="22" t="str">
        <x:f>IFERROR(VLOOKUP(C305,Dados!$A$4:$D$15,3,0),0)</x:f>
      </x:c>
      <x:c r="B305" s="25" t="str">
        <x:f>IFERROR(VLOOKUP(C305,Dados!$A$4:$B$13,2,0),"")</x:f>
      </x:c>
      <x:c r="C305" s="32"/>
      <x:c r="D305" s="5"/>
      <x:c r="E305" s="5"/>
      <x:c r="F305" s="5"/>
      <x:c r="G305" s="5"/>
      <x:c r="H305" s="5"/>
      <x:c r="I305" s="5"/>
      <x:c r="J305" s="24" t="str">
        <x:f>IFERROR(VLOOKUP(H305,Dados!$D$2:$F$63,2,0),"ERRO: VERIFICAR COMO DIRETORIA/CANAL")</x:f>
      </x:c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</x:row>
    <x:row r="306" ht="46.5" customHeight="1">
      <x:c r="A306" s="22" t="str">
        <x:f>IFERROR(VLOOKUP(C306,Dados!$A$4:$D$15,3,0),0)</x:f>
      </x:c>
      <x:c r="B306" s="25" t="str">
        <x:f>IFERROR(VLOOKUP(C306,Dados!$A$4:$B$13,2,0),"")</x:f>
      </x:c>
      <x:c r="C306" s="32"/>
      <x:c r="D306" s="5"/>
      <x:c r="E306" s="5"/>
      <x:c r="F306" s="5"/>
      <x:c r="G306" s="5"/>
      <x:c r="H306" s="5"/>
      <x:c r="I306" s="5"/>
      <x:c r="J306" s="24" t="str">
        <x:f>IFERROR(VLOOKUP(H306,Dados!$D$2:$F$63,2,0),"ERRO: VERIFICAR COMO DIRETORIA/CANAL")</x:f>
      </x:c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</x:row>
    <x:row r="307" ht="46.5" customHeight="1">
      <x:c r="A307" s="22" t="str">
        <x:f>IFERROR(VLOOKUP(C307,Dados!$A$4:$D$15,3,0),0)</x:f>
      </x:c>
      <x:c r="B307" s="25" t="str">
        <x:f>IFERROR(VLOOKUP(C307,Dados!$A$4:$B$13,2,0),"")</x:f>
      </x:c>
      <x:c r="C307" s="32"/>
      <x:c r="D307" s="5"/>
      <x:c r="E307" s="5"/>
      <x:c r="F307" s="5"/>
      <x:c r="G307" s="5"/>
      <x:c r="H307" s="5"/>
      <x:c r="I307" s="5"/>
      <x:c r="J307" s="24" t="str">
        <x:f>IFERROR(VLOOKUP(H307,Dados!$D$2:$F$63,2,0),"ERRO: VERIFICAR COMO DIRETORIA/CANAL")</x:f>
      </x:c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</x:row>
    <x:row r="308" ht="46.5" customHeight="1">
      <x:c r="A308" s="22" t="str">
        <x:f>IFERROR(VLOOKUP(C308,Dados!$A$4:$D$15,3,0),0)</x:f>
      </x:c>
      <x:c r="B308" s="25" t="str">
        <x:f>IFERROR(VLOOKUP(C308,Dados!$A$4:$B$13,2,0),"")</x:f>
      </x:c>
      <x:c r="C308" s="32"/>
      <x:c r="D308" s="5"/>
      <x:c r="E308" s="5"/>
      <x:c r="F308" s="5"/>
      <x:c r="G308" s="5"/>
      <x:c r="H308" s="5"/>
      <x:c r="I308" s="5"/>
      <x:c r="J308" s="24" t="str">
        <x:f>IFERROR(VLOOKUP(H308,Dados!$D$2:$F$63,2,0),"ERRO: VERIFICAR COMO DIRETORIA/CANAL")</x:f>
      </x:c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</x:row>
    <x:row r="309" ht="46.5" customHeight="1">
      <x:c r="A309" s="22" t="str">
        <x:f>IFERROR(VLOOKUP(C309,Dados!$A$4:$D$15,3,0),0)</x:f>
      </x:c>
      <x:c r="B309" s="25" t="str">
        <x:f>IFERROR(VLOOKUP(C309,Dados!$A$4:$B$13,2,0),"")</x:f>
      </x:c>
      <x:c r="C309" s="32"/>
      <x:c r="D309" s="5"/>
      <x:c r="E309" s="5"/>
      <x:c r="F309" s="5"/>
      <x:c r="G309" s="5"/>
      <x:c r="H309" s="5"/>
      <x:c r="I309" s="5"/>
      <x:c r="J309" s="24" t="str">
        <x:f>IFERROR(VLOOKUP(H309,Dados!$D$2:$F$63,2,0),"ERRO: VERIFICAR COMO DIRETORIA/CANAL")</x:f>
      </x:c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</x:row>
    <x:row r="310" ht="46.5" customHeight="1">
      <x:c r="A310" s="22" t="str">
        <x:f>IFERROR(VLOOKUP(C310,Dados!$A$4:$D$15,3,0),0)</x:f>
      </x:c>
      <x:c r="B310" s="25" t="str">
        <x:f>IFERROR(VLOOKUP(C310,Dados!$A$4:$B$13,2,0),"")</x:f>
      </x:c>
      <x:c r="C310" s="32"/>
      <x:c r="D310" s="5"/>
      <x:c r="E310" s="5"/>
      <x:c r="F310" s="5"/>
      <x:c r="G310" s="5"/>
      <x:c r="H310" s="5"/>
      <x:c r="I310" s="5"/>
      <x:c r="J310" s="24" t="str">
        <x:f>IFERROR(VLOOKUP(H310,Dados!$D$2:$F$63,2,0),"ERRO: VERIFICAR COMO DIRETORIA/CANAL")</x:f>
      </x:c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</x:row>
    <x:row r="311" ht="46.5" customHeight="1">
      <x:c r="A311" s="22" t="str">
        <x:f>IFERROR(VLOOKUP(C311,Dados!$A$4:$D$15,3,0),0)</x:f>
      </x:c>
      <x:c r="B311" s="25" t="str">
        <x:f>IFERROR(VLOOKUP(C311,Dados!$A$4:$B$13,2,0),"")</x:f>
      </x:c>
      <x:c r="C311" s="32"/>
      <x:c r="D311" s="5"/>
      <x:c r="E311" s="5"/>
      <x:c r="F311" s="5"/>
      <x:c r="G311" s="5"/>
      <x:c r="H311" s="5"/>
      <x:c r="I311" s="5"/>
      <x:c r="J311" s="24" t="str">
        <x:f>IFERROR(VLOOKUP(H311,Dados!$D$2:$F$63,2,0),"ERRO: VERIFICAR COMO DIRETORIA/CANAL")</x:f>
      </x:c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</x:row>
    <x:row r="312" ht="46.5" customHeight="1">
      <x:c r="A312" s="22" t="str">
        <x:f>IFERROR(VLOOKUP(C312,Dados!$A$4:$D$15,3,0),0)</x:f>
      </x:c>
      <x:c r="B312" s="25" t="str">
        <x:f>IFERROR(VLOOKUP(C312,Dados!$A$4:$B$13,2,0),"")</x:f>
      </x:c>
      <x:c r="C312" s="32"/>
      <x:c r="D312" s="5"/>
      <x:c r="E312" s="5"/>
      <x:c r="F312" s="5"/>
      <x:c r="G312" s="5"/>
      <x:c r="H312" s="5"/>
      <x:c r="I312" s="5"/>
      <x:c r="J312" s="24" t="str">
        <x:f>IFERROR(VLOOKUP(H312,Dados!$D$2:$F$63,2,0),"ERRO: VERIFICAR COMO DIRETORIA/CANAL")</x:f>
      </x:c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</x:row>
    <x:row r="313" ht="46.5" customHeight="1">
      <x:c r="A313" s="22" t="str">
        <x:f>IFERROR(VLOOKUP(C313,Dados!$A$4:$D$15,3,0),0)</x:f>
      </x:c>
      <x:c r="B313" s="25" t="str">
        <x:f>IFERROR(VLOOKUP(C313,Dados!$A$4:$B$13,2,0),"")</x:f>
      </x:c>
      <x:c r="C313" s="32"/>
      <x:c r="D313" s="5"/>
      <x:c r="E313" s="5"/>
      <x:c r="F313" s="5"/>
      <x:c r="G313" s="5"/>
      <x:c r="H313" s="5"/>
      <x:c r="I313" s="5"/>
      <x:c r="J313" s="24" t="str">
        <x:f>IFERROR(VLOOKUP(H313,Dados!$D$2:$F$63,2,0),"ERRO: VERIFICAR COMO DIRETORIA/CANAL")</x:f>
      </x:c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</x:row>
    <x:row r="314" ht="46.5" customHeight="1">
      <x:c r="A314" s="22" t="str">
        <x:f>IFERROR(VLOOKUP(C314,Dados!$A$4:$D$15,3,0),0)</x:f>
      </x:c>
      <x:c r="B314" s="25" t="str">
        <x:f>IFERROR(VLOOKUP(C314,Dados!$A$4:$B$13,2,0),"")</x:f>
      </x:c>
      <x:c r="C314" s="32"/>
      <x:c r="D314" s="5"/>
      <x:c r="E314" s="5"/>
      <x:c r="F314" s="5"/>
      <x:c r="G314" s="5"/>
      <x:c r="H314" s="5"/>
      <x:c r="I314" s="5"/>
      <x:c r="J314" s="24" t="str">
        <x:f>IFERROR(VLOOKUP(H314,Dados!$D$2:$F$63,2,0),"ERRO: VERIFICAR COMO DIRETORIA/CANAL")</x:f>
      </x:c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</x:row>
    <x:row r="315" ht="46.5" customHeight="1">
      <x:c r="A315" s="22" t="str">
        <x:f>IFERROR(VLOOKUP(C315,Dados!$A$4:$D$15,3,0),0)</x:f>
      </x:c>
      <x:c r="B315" s="25" t="str">
        <x:f>IFERROR(VLOOKUP(C315,Dados!$A$4:$B$13,2,0),"")</x:f>
      </x:c>
      <x:c r="C315" s="32"/>
      <x:c r="D315" s="5"/>
      <x:c r="E315" s="5"/>
      <x:c r="F315" s="5"/>
      <x:c r="G315" s="5"/>
      <x:c r="H315" s="5"/>
      <x:c r="I315" s="5"/>
      <x:c r="J315" s="24" t="str">
        <x:f>IFERROR(VLOOKUP(H315,Dados!$D$2:$F$63,2,0),"ERRO: VERIFICAR COMO DIRETORIA/CANAL")</x:f>
      </x:c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</x:row>
    <x:row r="316" ht="46.5" customHeight="1">
      <x:c r="A316" s="22" t="str">
        <x:f>IFERROR(VLOOKUP(C316,Dados!$A$4:$D$15,3,0),0)</x:f>
      </x:c>
      <x:c r="B316" s="25" t="str">
        <x:f>IFERROR(VLOOKUP(C316,Dados!$A$4:$B$13,2,0),"")</x:f>
      </x:c>
      <x:c r="C316" s="32"/>
      <x:c r="D316" s="5"/>
      <x:c r="E316" s="5"/>
      <x:c r="F316" s="5"/>
      <x:c r="G316" s="5"/>
      <x:c r="H316" s="5"/>
      <x:c r="I316" s="5"/>
      <x:c r="J316" s="24" t="str">
        <x:f>IFERROR(VLOOKUP(H316,Dados!$D$2:$F$63,2,0),"ERRO: VERIFICAR COMO DIRETORIA/CANAL")</x:f>
      </x:c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</x:row>
    <x:row r="317" ht="46.5" customHeight="1">
      <x:c r="A317" s="22" t="str">
        <x:f>IFERROR(VLOOKUP(C317,Dados!$A$4:$D$15,3,0),0)</x:f>
      </x:c>
      <x:c r="B317" s="25" t="str">
        <x:f>IFERROR(VLOOKUP(C317,Dados!$A$4:$B$13,2,0),"")</x:f>
      </x:c>
      <x:c r="C317" s="32"/>
      <x:c r="D317" s="5"/>
      <x:c r="E317" s="5"/>
      <x:c r="F317" s="5"/>
      <x:c r="G317" s="5"/>
      <x:c r="H317" s="5"/>
      <x:c r="I317" s="5"/>
      <x:c r="J317" s="24" t="str">
        <x:f>IFERROR(VLOOKUP(H317,Dados!$D$2:$F$63,2,0),"ERRO: VERIFICAR COMO DIRETORIA/CANAL")</x:f>
      </x:c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</x:row>
    <x:row r="318" ht="46.5" customHeight="1">
      <x:c r="A318" s="22" t="str">
        <x:f>IFERROR(VLOOKUP(C318,Dados!$A$4:$D$15,3,0),0)</x:f>
      </x:c>
      <x:c r="B318" s="25" t="str">
        <x:f>IFERROR(VLOOKUP(C318,Dados!$A$4:$B$13,2,0),"")</x:f>
      </x:c>
      <x:c r="C318" s="32"/>
      <x:c r="D318" s="5"/>
      <x:c r="E318" s="5"/>
      <x:c r="F318" s="5"/>
      <x:c r="G318" s="5"/>
      <x:c r="H318" s="5"/>
      <x:c r="I318" s="5"/>
      <x:c r="J318" s="24" t="str">
        <x:f>IFERROR(VLOOKUP(H318,Dados!$D$2:$F$63,2,0),"ERRO: VERIFICAR COMO DIRETORIA/CANAL")</x:f>
      </x:c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</x:row>
    <x:row r="319" ht="46.5" customHeight="1">
      <x:c r="A319" s="22" t="str">
        <x:f>IFERROR(VLOOKUP(C319,Dados!$A$4:$D$15,3,0),0)</x:f>
      </x:c>
      <x:c r="B319" s="25" t="str">
        <x:f>IFERROR(VLOOKUP(C319,Dados!$A$4:$B$13,2,0),"")</x:f>
      </x:c>
      <x:c r="C319" s="32"/>
      <x:c r="D319" s="5"/>
      <x:c r="E319" s="5"/>
      <x:c r="F319" s="5"/>
      <x:c r="G319" s="5"/>
      <x:c r="H319" s="5"/>
      <x:c r="I319" s="5"/>
      <x:c r="J319" s="24" t="str">
        <x:f>IFERROR(VLOOKUP(H319,Dados!$D$2:$F$63,2,0),"ERRO: VERIFICAR COMO DIRETORIA/CANAL")</x:f>
      </x:c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</x:row>
    <x:row r="320" ht="46.5" customHeight="1">
      <x:c r="A320" s="22" t="str">
        <x:f>IFERROR(VLOOKUP(C320,Dados!$A$4:$D$15,3,0),0)</x:f>
      </x:c>
      <x:c r="B320" s="25" t="str">
        <x:f>IFERROR(VLOOKUP(C320,Dados!$A$4:$B$13,2,0),"")</x:f>
      </x:c>
      <x:c r="C320" s="32"/>
      <x:c r="D320" s="5"/>
      <x:c r="E320" s="5"/>
      <x:c r="F320" s="5"/>
      <x:c r="G320" s="5"/>
      <x:c r="H320" s="5"/>
      <x:c r="I320" s="5"/>
      <x:c r="J320" s="24" t="str">
        <x:f>IFERROR(VLOOKUP(H320,Dados!$D$2:$F$63,2,0),"ERRO: VERIFICAR COMO DIRETORIA/CANAL")</x:f>
      </x:c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</x:row>
    <x:row r="321" ht="46.5" customHeight="1">
      <x:c r="A321" s="22" t="str">
        <x:f>IFERROR(VLOOKUP(C321,Dados!$A$4:$D$15,3,0),0)</x:f>
      </x:c>
      <x:c r="B321" s="25" t="str">
        <x:f>IFERROR(VLOOKUP(C321,Dados!$A$4:$B$13,2,0),"")</x:f>
      </x:c>
      <x:c r="C321" s="32"/>
      <x:c r="D321" s="5"/>
      <x:c r="E321" s="5"/>
      <x:c r="F321" s="5"/>
      <x:c r="G321" s="5"/>
      <x:c r="H321" s="5"/>
      <x:c r="I321" s="5"/>
      <x:c r="J321" s="24" t="str">
        <x:f>IFERROR(VLOOKUP(H321,Dados!$D$2:$F$63,2,0),"ERRO: VERIFICAR COMO DIRETORIA/CANAL")</x:f>
      </x:c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</x:row>
    <x:row r="322" ht="46.5" customHeight="1">
      <x:c r="A322" s="22" t="str">
        <x:f>IFERROR(VLOOKUP(C322,Dados!$A$4:$D$15,3,0),0)</x:f>
      </x:c>
      <x:c r="B322" s="25" t="str">
        <x:f>IFERROR(VLOOKUP(C322,Dados!$A$4:$B$13,2,0),"")</x:f>
      </x:c>
      <x:c r="C322" s="32"/>
      <x:c r="D322" s="5"/>
      <x:c r="E322" s="5"/>
      <x:c r="F322" s="5"/>
      <x:c r="G322" s="5"/>
      <x:c r="H322" s="5"/>
      <x:c r="I322" s="5"/>
      <x:c r="J322" s="24" t="str">
        <x:f>IFERROR(VLOOKUP(H322,Dados!$D$2:$F$63,2,0),"ERRO: VERIFICAR COMO DIRETORIA/CANAL")</x:f>
      </x:c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</x:row>
    <x:row r="323" ht="46.5" customHeight="1">
      <x:c r="A323" s="22" t="str">
        <x:f>IFERROR(VLOOKUP(C323,Dados!$A$4:$D$15,3,0),0)</x:f>
      </x:c>
      <x:c r="B323" s="25" t="str">
        <x:f>IFERROR(VLOOKUP(C323,Dados!$A$4:$B$13,2,0),"")</x:f>
      </x:c>
      <x:c r="C323" s="32"/>
      <x:c r="D323" s="5"/>
      <x:c r="E323" s="5"/>
      <x:c r="F323" s="5"/>
      <x:c r="G323" s="5"/>
      <x:c r="H323" s="5"/>
      <x:c r="I323" s="5"/>
      <x:c r="J323" s="24" t="str">
        <x:f>IFERROR(VLOOKUP(H323,Dados!$D$2:$F$63,2,0),"ERRO: VERIFICAR COMO DIRETORIA/CANAL")</x:f>
      </x:c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</x:row>
    <x:row r="324" ht="46.5" customHeight="1">
      <x:c r="A324" s="22" t="str">
        <x:f>IFERROR(VLOOKUP(C324,Dados!$A$4:$D$15,3,0),0)</x:f>
      </x:c>
      <x:c r="B324" s="25" t="str">
        <x:f>IFERROR(VLOOKUP(C324,Dados!$A$4:$B$13,2,0),"")</x:f>
      </x:c>
      <x:c r="C324" s="32"/>
      <x:c r="D324" s="5"/>
      <x:c r="E324" s="5"/>
      <x:c r="F324" s="5"/>
      <x:c r="G324" s="5"/>
      <x:c r="H324" s="5"/>
      <x:c r="I324" s="5"/>
      <x:c r="J324" s="24" t="str">
        <x:f>IFERROR(VLOOKUP(H324,Dados!$D$2:$F$63,2,0),"ERRO: VERIFICAR COMO DIRETORIA/CANAL")</x:f>
      </x:c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</x:row>
    <x:row r="325" ht="46.5" customHeight="1">
      <x:c r="A325" s="22" t="str">
        <x:f>IFERROR(VLOOKUP(C325,Dados!$A$4:$D$15,3,0),0)</x:f>
      </x:c>
      <x:c r="B325" s="25" t="str">
        <x:f>IFERROR(VLOOKUP(C325,Dados!$A$4:$B$13,2,0),"")</x:f>
      </x:c>
      <x:c r="C325" s="32"/>
      <x:c r="D325" s="5"/>
      <x:c r="E325" s="5"/>
      <x:c r="F325" s="5"/>
      <x:c r="G325" s="5"/>
      <x:c r="H325" s="5"/>
      <x:c r="I325" s="5"/>
      <x:c r="J325" s="24" t="str">
        <x:f>IFERROR(VLOOKUP(H325,Dados!$D$2:$F$63,2,0),"ERRO: VERIFICAR COMO DIRETORIA/CANAL")</x:f>
      </x:c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</x:row>
    <x:row r="326" ht="46.5" customHeight="1">
      <x:c r="A326" s="22" t="str">
        <x:f>IFERROR(VLOOKUP(C326,Dados!$A$4:$D$15,3,0),0)</x:f>
      </x:c>
      <x:c r="B326" s="25" t="str">
        <x:f>IFERROR(VLOOKUP(C326,Dados!$A$4:$B$13,2,0),"")</x:f>
      </x:c>
      <x:c r="C326" s="32"/>
      <x:c r="D326" s="5"/>
      <x:c r="E326" s="5"/>
      <x:c r="F326" s="5"/>
      <x:c r="G326" s="5"/>
      <x:c r="H326" s="5"/>
      <x:c r="I326" s="5"/>
      <x:c r="J326" s="24" t="str">
        <x:f>IFERROR(VLOOKUP(H326,Dados!$D$2:$F$63,2,0),"ERRO: VERIFICAR COMO DIRETORIA/CANAL")</x:f>
      </x:c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</x:row>
    <x:row r="327" ht="46.5" customHeight="1">
      <x:c r="A327" s="22" t="str">
        <x:f>IFERROR(VLOOKUP(C327,Dados!$A$4:$D$15,3,0),0)</x:f>
      </x:c>
      <x:c r="B327" s="25" t="str">
        <x:f>IFERROR(VLOOKUP(C327,Dados!$A$4:$B$13,2,0),"")</x:f>
      </x:c>
      <x:c r="C327" s="32"/>
      <x:c r="D327" s="5"/>
      <x:c r="E327" s="5"/>
      <x:c r="F327" s="5"/>
      <x:c r="G327" s="5"/>
      <x:c r="H327" s="5"/>
      <x:c r="I327" s="5"/>
      <x:c r="J327" s="24" t="str">
        <x:f>IFERROR(VLOOKUP(H327,Dados!$D$2:$F$63,2,0),"ERRO: VERIFICAR COMO DIRETORIA/CANAL")</x:f>
      </x:c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</x:row>
    <x:row r="328" ht="46.5" customHeight="1">
      <x:c r="A328" s="22" t="str">
        <x:f>IFERROR(VLOOKUP(C328,Dados!$A$4:$D$15,3,0),0)</x:f>
      </x:c>
      <x:c r="B328" s="25" t="str">
        <x:f>IFERROR(VLOOKUP(C328,Dados!$A$4:$B$13,2,0),"")</x:f>
      </x:c>
      <x:c r="C328" s="32"/>
      <x:c r="D328" s="5"/>
      <x:c r="E328" s="5"/>
      <x:c r="F328" s="5"/>
      <x:c r="G328" s="5"/>
      <x:c r="H328" s="5"/>
      <x:c r="I328" s="5"/>
      <x:c r="J328" s="24" t="str">
        <x:f>IFERROR(VLOOKUP(H328,Dados!$D$2:$F$63,2,0),"ERRO: VERIFICAR COMO DIRETORIA/CANAL")</x:f>
      </x:c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</x:row>
    <x:row r="329" ht="46.5" customHeight="1">
      <x:c r="A329" s="22" t="str">
        <x:f>IFERROR(VLOOKUP(C329,Dados!$A$4:$D$15,3,0),0)</x:f>
      </x:c>
      <x:c r="B329" s="25" t="str">
        <x:f>IFERROR(VLOOKUP(C329,Dados!$A$4:$B$13,2,0),"")</x:f>
      </x:c>
      <x:c r="C329" s="32"/>
      <x:c r="D329" s="5"/>
      <x:c r="E329" s="5"/>
      <x:c r="F329" s="5"/>
      <x:c r="G329" s="5"/>
      <x:c r="H329" s="5"/>
      <x:c r="I329" s="5"/>
      <x:c r="J329" s="24" t="str">
        <x:f>IFERROR(VLOOKUP(H329,Dados!$D$2:$F$63,2,0),"ERRO: VERIFICAR COMO DIRETORIA/CANAL")</x:f>
      </x:c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</x:row>
    <x:row r="330" ht="46.5" customHeight="1">
      <x:c r="A330" s="22" t="str">
        <x:f>IFERROR(VLOOKUP(C330,Dados!$A$4:$D$15,3,0),0)</x:f>
      </x:c>
      <x:c r="B330" s="25" t="str">
        <x:f>IFERROR(VLOOKUP(C330,Dados!$A$4:$B$13,2,0),"")</x:f>
      </x:c>
      <x:c r="C330" s="32"/>
      <x:c r="D330" s="5"/>
      <x:c r="E330" s="5"/>
      <x:c r="F330" s="5"/>
      <x:c r="G330" s="5"/>
      <x:c r="H330" s="5"/>
      <x:c r="I330" s="5"/>
      <x:c r="J330" s="24" t="str">
        <x:f>IFERROR(VLOOKUP(H330,Dados!$D$2:$F$63,2,0),"ERRO: VERIFICAR COMO DIRETORIA/CANAL")</x:f>
      </x:c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</x:row>
    <x:row r="331" ht="46.5" customHeight="1">
      <x:c r="A331" s="22" t="str">
        <x:f>IFERROR(VLOOKUP(C331,Dados!$A$4:$D$15,3,0),0)</x:f>
      </x:c>
      <x:c r="B331" s="25" t="str">
        <x:f>IFERROR(VLOOKUP(C331,Dados!$A$4:$B$13,2,0),"")</x:f>
      </x:c>
      <x:c r="C331" s="32"/>
      <x:c r="D331" s="5"/>
      <x:c r="E331" s="5"/>
      <x:c r="F331" s="5"/>
      <x:c r="G331" s="5"/>
      <x:c r="H331" s="5"/>
      <x:c r="I331" s="5"/>
      <x:c r="J331" s="24" t="str">
        <x:f>IFERROR(VLOOKUP(H331,Dados!$D$2:$F$63,2,0),"ERRO: VERIFICAR COMO DIRETORIA/CANAL")</x:f>
      </x:c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</x:row>
    <x:row r="332" ht="46.5" customHeight="1">
      <x:c r="A332" s="22" t="str">
        <x:f>IFERROR(VLOOKUP(C332,Dados!$A$4:$D$15,3,0),0)</x:f>
      </x:c>
      <x:c r="B332" s="25" t="str">
        <x:f>IFERROR(VLOOKUP(C332,Dados!$A$4:$B$13,2,0),"")</x:f>
      </x:c>
      <x:c r="C332" s="32"/>
      <x:c r="D332" s="5"/>
      <x:c r="E332" s="5"/>
      <x:c r="F332" s="5"/>
      <x:c r="G332" s="5"/>
      <x:c r="H332" s="5"/>
      <x:c r="I332" s="5"/>
      <x:c r="J332" s="24" t="str">
        <x:f>IFERROR(VLOOKUP(H332,Dados!$D$2:$F$63,2,0),"ERRO: VERIFICAR COMO DIRETORIA/CANAL")</x:f>
      </x:c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</x:row>
    <x:row r="333" ht="46.5" customHeight="1">
      <x:c r="A333" s="22" t="str">
        <x:f>IFERROR(VLOOKUP(C333,Dados!$A$4:$D$15,3,0),0)</x:f>
      </x:c>
      <x:c r="B333" s="25" t="str">
        <x:f>IFERROR(VLOOKUP(C333,Dados!$A$4:$B$13,2,0),"")</x:f>
      </x:c>
      <x:c r="C333" s="32"/>
      <x:c r="D333" s="5"/>
      <x:c r="E333" s="5"/>
      <x:c r="F333" s="5"/>
      <x:c r="G333" s="5"/>
      <x:c r="H333" s="5"/>
      <x:c r="I333" s="5"/>
      <x:c r="J333" s="24" t="str">
        <x:f>IFERROR(VLOOKUP(H333,Dados!$D$2:$F$63,2,0),"ERRO: VERIFICAR COMO DIRETORIA/CANAL")</x:f>
      </x:c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</x:row>
    <x:row r="334" ht="46.5" customHeight="1">
      <x:c r="A334" s="22" t="str">
        <x:f>IFERROR(VLOOKUP(C334,Dados!$A$4:$D$15,3,0),0)</x:f>
      </x:c>
      <x:c r="B334" s="25" t="str">
        <x:f>IFERROR(VLOOKUP(C334,Dados!$A$4:$B$13,2,0),"")</x:f>
      </x:c>
      <x:c r="C334" s="32"/>
      <x:c r="D334" s="5"/>
      <x:c r="E334" s="5"/>
      <x:c r="F334" s="5"/>
      <x:c r="G334" s="5"/>
      <x:c r="H334" s="5"/>
      <x:c r="I334" s="5"/>
      <x:c r="J334" s="24" t="str">
        <x:f>IFERROR(VLOOKUP(H334,Dados!$D$2:$F$63,2,0),"ERRO: VERIFICAR COMO DIRETORIA/CANAL")</x:f>
      </x:c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</x:row>
    <x:row r="335" ht="46.5" customHeight="1">
      <x:c r="A335" s="22" t="str">
        <x:f>IFERROR(VLOOKUP(C335,Dados!$A$4:$D$15,3,0),0)</x:f>
      </x:c>
      <x:c r="B335" s="25" t="str">
        <x:f>IFERROR(VLOOKUP(C335,Dados!$A$4:$B$13,2,0),"")</x:f>
      </x:c>
      <x:c r="C335" s="32"/>
      <x:c r="D335" s="5"/>
      <x:c r="E335" s="5"/>
      <x:c r="F335" s="5"/>
      <x:c r="G335" s="5"/>
      <x:c r="H335" s="5"/>
      <x:c r="I335" s="5"/>
      <x:c r="J335" s="24" t="str">
        <x:f>IFERROR(VLOOKUP(H335,Dados!$D$2:$F$63,2,0),"ERRO: VERIFICAR COMO DIRETORIA/CANAL")</x:f>
      </x:c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</x:row>
    <x:row r="336" ht="46.5" customHeight="1">
      <x:c r="A336" s="22" t="str">
        <x:f>IFERROR(VLOOKUP(C336,Dados!$A$4:$D$15,3,0),0)</x:f>
      </x:c>
      <x:c r="B336" s="25" t="str">
        <x:f>IFERROR(VLOOKUP(C336,Dados!$A$4:$B$13,2,0),"")</x:f>
      </x:c>
      <x:c r="C336" s="32"/>
      <x:c r="D336" s="5"/>
      <x:c r="E336" s="5"/>
      <x:c r="F336" s="5"/>
      <x:c r="G336" s="5"/>
      <x:c r="H336" s="5"/>
      <x:c r="I336" s="5"/>
      <x:c r="J336" s="24" t="str">
        <x:f>IFERROR(VLOOKUP(H336,Dados!$D$2:$F$63,2,0),"ERRO: VERIFICAR COMO DIRETORIA/CANAL")</x:f>
      </x:c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</x:row>
    <x:row r="337" ht="46.5" customHeight="1">
      <x:c r="A337" s="22" t="str">
        <x:f>IFERROR(VLOOKUP(C337,Dados!$A$4:$D$15,3,0),0)</x:f>
      </x:c>
      <x:c r="B337" s="25" t="str">
        <x:f>IFERROR(VLOOKUP(C337,Dados!$A$4:$B$13,2,0),"")</x:f>
      </x:c>
      <x:c r="C337" s="32"/>
      <x:c r="D337" s="5"/>
      <x:c r="E337" s="5"/>
      <x:c r="F337" s="5"/>
      <x:c r="G337" s="5"/>
      <x:c r="H337" s="5"/>
      <x:c r="I337" s="5"/>
      <x:c r="J337" s="24" t="str">
        <x:f>IFERROR(VLOOKUP(H337,Dados!$D$2:$F$63,2,0),"ERRO: VERIFICAR COMO DIRETORIA/CANAL")</x:f>
      </x:c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</x:row>
    <x:row r="338" ht="46.5" customHeight="1">
      <x:c r="A338" s="22" t="str">
        <x:f>IFERROR(VLOOKUP(C338,Dados!$A$4:$D$15,3,0),0)</x:f>
      </x:c>
      <x:c r="B338" s="25" t="str">
        <x:f>IFERROR(VLOOKUP(C338,Dados!$A$4:$B$13,2,0),"")</x:f>
      </x:c>
      <x:c r="C338" s="32"/>
      <x:c r="D338" s="5"/>
      <x:c r="E338" s="5"/>
      <x:c r="F338" s="5"/>
      <x:c r="G338" s="5"/>
      <x:c r="H338" s="5"/>
      <x:c r="I338" s="5"/>
      <x:c r="J338" s="24" t="str">
        <x:f>IFERROR(VLOOKUP(H338,Dados!$D$2:$F$63,2,0),"ERRO: VERIFICAR COMO DIRETORIA/CANAL")</x:f>
      </x:c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</x:row>
    <x:row r="339" ht="46.5" customHeight="1">
      <x:c r="A339" s="22" t="str">
        <x:f>IFERROR(VLOOKUP(C339,Dados!$A$4:$D$15,3,0),0)</x:f>
      </x:c>
      <x:c r="B339" s="25" t="str">
        <x:f>IFERROR(VLOOKUP(C339,Dados!$A$4:$B$13,2,0),"")</x:f>
      </x:c>
      <x:c r="C339" s="32"/>
      <x:c r="D339" s="5"/>
      <x:c r="E339" s="5"/>
      <x:c r="F339" s="5"/>
      <x:c r="G339" s="5"/>
      <x:c r="H339" s="5"/>
      <x:c r="I339" s="5"/>
      <x:c r="J339" s="24" t="str">
        <x:f>IFERROR(VLOOKUP(H339,Dados!$D$2:$F$63,2,0),"ERRO: VERIFICAR COMO DIRETORIA/CANAL")</x:f>
      </x:c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</x:row>
    <x:row r="340" ht="46.5" customHeight="1">
      <x:c r="A340" s="22" t="str">
        <x:f>IFERROR(VLOOKUP(C340,Dados!$A$4:$D$15,3,0),0)</x:f>
      </x:c>
      <x:c r="B340" s="25" t="str">
        <x:f>IFERROR(VLOOKUP(C340,Dados!$A$4:$B$13,2,0),"")</x:f>
      </x:c>
      <x:c r="C340" s="32"/>
      <x:c r="D340" s="5"/>
      <x:c r="E340" s="5"/>
      <x:c r="F340" s="5"/>
      <x:c r="G340" s="5"/>
      <x:c r="H340" s="5"/>
      <x:c r="I340" s="5"/>
      <x:c r="J340" s="24" t="str">
        <x:f>IFERROR(VLOOKUP(H340,Dados!$D$2:$F$63,2,0),"ERRO: VERIFICAR COMO DIRETORIA/CANAL")</x:f>
      </x:c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</x:row>
    <x:row r="341" ht="46.5" customHeight="1">
      <x:c r="A341" s="22" t="str">
        <x:f>IFERROR(VLOOKUP(C341,Dados!$A$4:$D$15,3,0),0)</x:f>
      </x:c>
      <x:c r="B341" s="25" t="str">
        <x:f>IFERROR(VLOOKUP(C341,Dados!$A$4:$B$13,2,0),"")</x:f>
      </x:c>
      <x:c r="C341" s="32"/>
      <x:c r="D341" s="5"/>
      <x:c r="E341" s="5"/>
      <x:c r="F341" s="5"/>
      <x:c r="G341" s="5"/>
      <x:c r="H341" s="5"/>
      <x:c r="I341" s="5"/>
      <x:c r="J341" s="24" t="str">
        <x:f>IFERROR(VLOOKUP(H341,Dados!$D$2:$F$63,2,0),"ERRO: VERIFICAR COMO DIRETORIA/CANAL")</x:f>
      </x:c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</x:row>
    <x:row r="342" ht="46.5" customHeight="1">
      <x:c r="A342" s="22" t="str">
        <x:f>IFERROR(VLOOKUP(C342,Dados!$A$4:$D$15,3,0),0)</x:f>
      </x:c>
      <x:c r="B342" s="25" t="str">
        <x:f>IFERROR(VLOOKUP(C342,Dados!$A$4:$B$13,2,0),"")</x:f>
      </x:c>
      <x:c r="C342" s="32"/>
      <x:c r="D342" s="5"/>
      <x:c r="E342" s="5"/>
      <x:c r="F342" s="5"/>
      <x:c r="G342" s="5"/>
      <x:c r="H342" s="5"/>
      <x:c r="I342" s="5"/>
      <x:c r="J342" s="24" t="str">
        <x:f>IFERROR(VLOOKUP(H342,Dados!$D$2:$F$63,2,0),"ERRO: VERIFICAR COMO DIRETORIA/CANAL")</x:f>
      </x:c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</x:row>
    <x:row r="343" ht="46.5" customHeight="1">
      <x:c r="A343" s="22" t="str">
        <x:f>IFERROR(VLOOKUP(C343,Dados!$A$4:$D$15,3,0),0)</x:f>
      </x:c>
      <x:c r="B343" s="25" t="str">
        <x:f>IFERROR(VLOOKUP(C343,Dados!$A$4:$B$13,2,0),"")</x:f>
      </x:c>
      <x:c r="C343" s="32"/>
      <x:c r="D343" s="5"/>
      <x:c r="E343" s="5"/>
      <x:c r="F343" s="5"/>
      <x:c r="G343" s="5"/>
      <x:c r="H343" s="5"/>
      <x:c r="I343" s="5"/>
      <x:c r="J343" s="24" t="str">
        <x:f>IFERROR(VLOOKUP(H343,Dados!$D$2:$F$63,2,0),"ERRO: VERIFICAR COMO DIRETORIA/CANAL")</x:f>
      </x:c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</x:row>
    <x:row r="344" ht="46.5" customHeight="1">
      <x:c r="A344" s="22" t="str">
        <x:f>IFERROR(VLOOKUP(C344,Dados!$A$4:$D$15,3,0),0)</x:f>
      </x:c>
      <x:c r="B344" s="25" t="str">
        <x:f>IFERROR(VLOOKUP(C344,Dados!$A$4:$B$13,2,0),"")</x:f>
      </x:c>
      <x:c r="C344" s="32"/>
      <x:c r="D344" s="5"/>
      <x:c r="E344" s="5"/>
      <x:c r="F344" s="5"/>
      <x:c r="G344" s="5"/>
      <x:c r="H344" s="5"/>
      <x:c r="I344" s="5"/>
      <x:c r="J344" s="24" t="str">
        <x:f>IFERROR(VLOOKUP(H344,Dados!$D$2:$F$63,2,0),"ERRO: VERIFICAR COMO DIRETORIA/CANAL")</x:f>
      </x:c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</x:row>
    <x:row r="345" ht="46.5" customHeight="1">
      <x:c r="A345" s="22" t="str">
        <x:f>IFERROR(VLOOKUP(C345,Dados!$A$4:$D$15,3,0),0)</x:f>
      </x:c>
      <x:c r="B345" s="25" t="str">
        <x:f>IFERROR(VLOOKUP(C345,Dados!$A$4:$B$13,2,0),"")</x:f>
      </x:c>
      <x:c r="C345" s="32"/>
      <x:c r="D345" s="5"/>
      <x:c r="E345" s="5"/>
      <x:c r="F345" s="5"/>
      <x:c r="G345" s="5"/>
      <x:c r="H345" s="5"/>
      <x:c r="I345" s="5"/>
      <x:c r="J345" s="24" t="str">
        <x:f>IFERROR(VLOOKUP(H345,Dados!$D$2:$F$63,2,0),"ERRO: VERIFICAR COMO DIRETORIA/CANAL")</x:f>
      </x:c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</x:row>
    <x:row r="346" ht="46.5" customHeight="1">
      <x:c r="A346" s="22" t="str">
        <x:f>IFERROR(VLOOKUP(C346,Dados!$A$4:$D$15,3,0),0)</x:f>
      </x:c>
      <x:c r="B346" s="25" t="str">
        <x:f>IFERROR(VLOOKUP(C346,Dados!$A$4:$B$13,2,0),"")</x:f>
      </x:c>
      <x:c r="C346" s="32"/>
      <x:c r="D346" s="5"/>
      <x:c r="E346" s="5"/>
      <x:c r="F346" s="5"/>
      <x:c r="G346" s="5"/>
      <x:c r="H346" s="5"/>
      <x:c r="I346" s="5"/>
      <x:c r="J346" s="24" t="str">
        <x:f>IFERROR(VLOOKUP(H346,Dados!$D$2:$F$63,2,0),"ERRO: VERIFICAR COMO DIRETORIA/CANAL")</x:f>
      </x:c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</x:row>
    <x:row r="347" ht="46.5" customHeight="1">
      <x:c r="A347" s="22" t="str">
        <x:f>IFERROR(VLOOKUP(C347,Dados!$A$4:$D$15,3,0),0)</x:f>
      </x:c>
      <x:c r="B347" s="25" t="str">
        <x:f>IFERROR(VLOOKUP(C347,Dados!$A$4:$B$13,2,0),"")</x:f>
      </x:c>
      <x:c r="C347" s="32"/>
      <x:c r="D347" s="5"/>
      <x:c r="E347" s="5"/>
      <x:c r="F347" s="5"/>
      <x:c r="G347" s="5"/>
      <x:c r="H347" s="5"/>
      <x:c r="I347" s="5"/>
      <x:c r="J347" s="24" t="str">
        <x:f>IFERROR(VLOOKUP(H347,Dados!$D$2:$F$63,2,0),"ERRO: VERIFICAR COMO DIRETORIA/CANAL")</x:f>
      </x:c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</x:row>
    <x:row r="348" ht="46.5" customHeight="1">
      <x:c r="A348" s="22" t="str">
        <x:f>IFERROR(VLOOKUP(C348,Dados!$A$4:$D$15,3,0),0)</x:f>
      </x:c>
      <x:c r="B348" s="25" t="str">
        <x:f>IFERROR(VLOOKUP(C348,Dados!$A$4:$B$13,2,0),"")</x:f>
      </x:c>
      <x:c r="C348" s="32"/>
      <x:c r="D348" s="5"/>
      <x:c r="E348" s="5"/>
      <x:c r="F348" s="5"/>
      <x:c r="G348" s="5"/>
      <x:c r="H348" s="5"/>
      <x:c r="I348" s="5"/>
      <x:c r="J348" s="24" t="str">
        <x:f>IFERROR(VLOOKUP(H348,Dados!$D$2:$F$63,2,0),"ERRO: VERIFICAR COMO DIRETORIA/CANAL")</x:f>
      </x:c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</x:row>
    <x:row r="349" ht="46.5" customHeight="1">
      <x:c r="A349" s="22" t="str">
        <x:f>IFERROR(VLOOKUP(C349,Dados!$A$4:$D$15,3,0),0)</x:f>
      </x:c>
      <x:c r="B349" s="25" t="str">
        <x:f>IFERROR(VLOOKUP(C349,Dados!$A$4:$B$13,2,0),"")</x:f>
      </x:c>
      <x:c r="C349" s="32"/>
      <x:c r="D349" s="5"/>
      <x:c r="E349" s="5"/>
      <x:c r="F349" s="5"/>
      <x:c r="G349" s="5"/>
      <x:c r="H349" s="5"/>
      <x:c r="I349" s="5"/>
      <x:c r="J349" s="24" t="str">
        <x:f>IFERROR(VLOOKUP(H349,Dados!$D$2:$F$63,2,0),"ERRO: VERIFICAR COMO DIRETORIA/CANAL")</x:f>
      </x:c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</x:row>
    <x:row r="350" ht="46.5" customHeight="1">
      <x:c r="A350" s="22" t="str">
        <x:f>IFERROR(VLOOKUP(C350,Dados!$A$4:$D$15,3,0),0)</x:f>
      </x:c>
      <x:c r="B350" s="25" t="str">
        <x:f>IFERROR(VLOOKUP(C350,Dados!$A$4:$B$13,2,0),"")</x:f>
      </x:c>
      <x:c r="C350" s="32"/>
      <x:c r="D350" s="5"/>
      <x:c r="E350" s="5"/>
      <x:c r="F350" s="5"/>
      <x:c r="G350" s="5"/>
      <x:c r="H350" s="5"/>
      <x:c r="I350" s="5"/>
      <x:c r="J350" s="24" t="str">
        <x:f>IFERROR(VLOOKUP(H350,Dados!$D$2:$F$63,2,0),"ERRO: VERIFICAR COMO DIRETORIA/CANAL")</x:f>
      </x:c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</x:row>
    <x:row r="351" ht="46.5" customHeight="1">
      <x:c r="A351" s="22" t="str">
        <x:f>IFERROR(VLOOKUP(C351,Dados!$A$4:$D$15,3,0),0)</x:f>
      </x:c>
      <x:c r="B351" s="25" t="str">
        <x:f>IFERROR(VLOOKUP(C351,Dados!$A$4:$B$13,2,0),"")</x:f>
      </x:c>
      <x:c r="C351" s="32"/>
      <x:c r="D351" s="5"/>
      <x:c r="E351" s="5"/>
      <x:c r="F351" s="5"/>
      <x:c r="G351" s="5"/>
      <x:c r="H351" s="5"/>
      <x:c r="I351" s="5"/>
      <x:c r="J351" s="24" t="str">
        <x:f>IFERROR(VLOOKUP(H351,Dados!$D$2:$F$63,2,0),"ERRO: VERIFICAR COMO DIRETORIA/CANAL")</x:f>
      </x:c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</x:row>
    <x:row r="352" ht="46.5" customHeight="1">
      <x:c r="A352" s="22" t="str">
        <x:f>IFERROR(VLOOKUP(C352,Dados!$A$4:$D$15,3,0),0)</x:f>
      </x:c>
      <x:c r="B352" s="25" t="str">
        <x:f>IFERROR(VLOOKUP(C352,Dados!$A$4:$B$13,2,0),"")</x:f>
      </x:c>
      <x:c r="C352" s="32"/>
      <x:c r="D352" s="5"/>
      <x:c r="E352" s="5"/>
      <x:c r="F352" s="5"/>
      <x:c r="G352" s="5"/>
      <x:c r="H352" s="5"/>
      <x:c r="I352" s="5"/>
      <x:c r="J352" s="24" t="str">
        <x:f>IFERROR(VLOOKUP(H352,Dados!$D$2:$F$63,2,0),"ERRO: VERIFICAR COMO DIRETORIA/CANAL")</x:f>
      </x:c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</x:row>
    <x:row r="353" ht="46.5" customHeight="1">
      <x:c r="A353" s="22" t="str">
        <x:f>IFERROR(VLOOKUP(C353,Dados!$A$4:$D$15,3,0),0)</x:f>
      </x:c>
      <x:c r="B353" s="25" t="str">
        <x:f>IFERROR(VLOOKUP(C353,Dados!$A$4:$B$13,2,0),"")</x:f>
      </x:c>
      <x:c r="C353" s="32"/>
      <x:c r="D353" s="5"/>
      <x:c r="E353" s="5"/>
      <x:c r="F353" s="5"/>
      <x:c r="G353" s="5"/>
      <x:c r="H353" s="5"/>
      <x:c r="I353" s="5"/>
      <x:c r="J353" s="24" t="str">
        <x:f>IFERROR(VLOOKUP(H353,Dados!$D$2:$F$63,2,0),"ERRO: VERIFICAR COMO DIRETORIA/CANAL")</x:f>
      </x:c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</x:row>
    <x:row r="354" ht="46.5" customHeight="1">
      <x:c r="A354" s="22" t="str">
        <x:f>IFERROR(VLOOKUP(C354,Dados!$A$4:$D$15,3,0),0)</x:f>
      </x:c>
      <x:c r="B354" s="25" t="str">
        <x:f>IFERROR(VLOOKUP(C354,Dados!$A$4:$B$13,2,0),"")</x:f>
      </x:c>
      <x:c r="C354" s="32"/>
      <x:c r="D354" s="5"/>
      <x:c r="E354" s="5"/>
      <x:c r="F354" s="5"/>
      <x:c r="G354" s="5"/>
      <x:c r="H354" s="5"/>
      <x:c r="I354" s="5"/>
      <x:c r="J354" s="24" t="str">
        <x:f>IFERROR(VLOOKUP(H354,Dados!$D$2:$F$63,2,0),"ERRO: VERIFICAR COMO DIRETORIA/CANAL")</x:f>
      </x:c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</x:row>
    <x:row r="355" ht="46.5" customHeight="1">
      <x:c r="A355" s="22" t="str">
        <x:f>IFERROR(VLOOKUP(C355,Dados!$A$4:$D$15,3,0),0)</x:f>
      </x:c>
      <x:c r="B355" s="25" t="str">
        <x:f>IFERROR(VLOOKUP(C355,Dados!$A$4:$B$13,2,0),"")</x:f>
      </x:c>
      <x:c r="C355" s="32"/>
      <x:c r="D355" s="5"/>
      <x:c r="E355" s="5"/>
      <x:c r="F355" s="5"/>
      <x:c r="G355" s="5"/>
      <x:c r="H355" s="5"/>
      <x:c r="I355" s="5"/>
      <x:c r="J355" s="24" t="str">
        <x:f>IFERROR(VLOOKUP(H355,Dados!$D$2:$F$63,2,0),"ERRO: VERIFICAR COMO DIRETORIA/CANAL")</x:f>
      </x:c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</x:row>
    <x:row r="356" ht="46.5" customHeight="1">
      <x:c r="A356" s="22" t="str">
        <x:f>IFERROR(VLOOKUP(C356,Dados!$A$4:$D$15,3,0),0)</x:f>
      </x:c>
      <x:c r="B356" s="25" t="str">
        <x:f>IFERROR(VLOOKUP(C356,Dados!$A$4:$B$13,2,0),"")</x:f>
      </x:c>
      <x:c r="C356" s="32"/>
      <x:c r="D356" s="5"/>
      <x:c r="E356" s="5"/>
      <x:c r="F356" s="5"/>
      <x:c r="G356" s="5"/>
      <x:c r="H356" s="5"/>
      <x:c r="I356" s="5"/>
      <x:c r="J356" s="24" t="str">
        <x:f>IFERROR(VLOOKUP(H356,Dados!$D$2:$F$63,2,0),"ERRO: VERIFICAR COMO DIRETORIA/CANAL")</x:f>
      </x:c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</x:row>
    <x:row r="357" ht="46.5" customHeight="1">
      <x:c r="A357" s="22" t="str">
        <x:f>IFERROR(VLOOKUP(C357,Dados!$A$4:$D$15,3,0),0)</x:f>
      </x:c>
      <x:c r="B357" s="25" t="str">
        <x:f>IFERROR(VLOOKUP(C357,Dados!$A$4:$B$13,2,0),"")</x:f>
      </x:c>
      <x:c r="C357" s="32"/>
      <x:c r="D357" s="5"/>
      <x:c r="E357" s="5"/>
      <x:c r="F357" s="5"/>
      <x:c r="G357" s="5"/>
      <x:c r="H357" s="5"/>
      <x:c r="I357" s="5"/>
      <x:c r="J357" s="24" t="str">
        <x:f>IFERROR(VLOOKUP(H357,Dados!$D$2:$F$63,2,0),"ERRO: VERIFICAR COMO DIRETORIA/CANAL")</x:f>
      </x:c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</x:row>
    <x:row r="358" ht="46.5" customHeight="1">
      <x:c r="A358" s="22" t="str">
        <x:f>IFERROR(VLOOKUP(C358,Dados!$A$4:$D$15,3,0),0)</x:f>
      </x:c>
      <x:c r="B358" s="25" t="str">
        <x:f>IFERROR(VLOOKUP(C358,Dados!$A$4:$B$13,2,0),"")</x:f>
      </x:c>
      <x:c r="C358" s="32"/>
      <x:c r="D358" s="5"/>
      <x:c r="E358" s="5"/>
      <x:c r="F358" s="5"/>
      <x:c r="G358" s="5"/>
      <x:c r="H358" s="5"/>
      <x:c r="I358" s="5"/>
      <x:c r="J358" s="24" t="str">
        <x:f>IFERROR(VLOOKUP(H358,Dados!$D$2:$F$63,2,0),"ERRO: VERIFICAR COMO DIRETORIA/CANAL")</x:f>
      </x:c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</x:row>
    <x:row r="359" ht="46.5" customHeight="1">
      <x:c r="A359" s="22" t="str">
        <x:f>IFERROR(VLOOKUP(C359,Dados!$A$4:$D$15,3,0),0)</x:f>
      </x:c>
      <x:c r="B359" s="25" t="str">
        <x:f>IFERROR(VLOOKUP(C359,Dados!$A$4:$B$13,2,0),"")</x:f>
      </x:c>
      <x:c r="C359" s="32"/>
      <x:c r="D359" s="5"/>
      <x:c r="E359" s="5"/>
      <x:c r="F359" s="5"/>
      <x:c r="G359" s="5"/>
      <x:c r="H359" s="5"/>
      <x:c r="I359" s="5"/>
      <x:c r="J359" s="24" t="str">
        <x:f>IFERROR(VLOOKUP(H359,Dados!$D$2:$F$63,2,0),"ERRO: VERIFICAR COMO DIRETORIA/CANAL")</x:f>
      </x:c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</x:row>
    <x:row r="360" ht="46.5" customHeight="1">
      <x:c r="A360" s="22" t="str">
        <x:f>IFERROR(VLOOKUP(C360,Dados!$A$4:$D$15,3,0),0)</x:f>
      </x:c>
      <x:c r="B360" s="25" t="str">
        <x:f>IFERROR(VLOOKUP(C360,Dados!$A$4:$B$13,2,0),"")</x:f>
      </x:c>
      <x:c r="C360" s="32"/>
      <x:c r="D360" s="5"/>
      <x:c r="E360" s="5"/>
      <x:c r="F360" s="5"/>
      <x:c r="G360" s="5"/>
      <x:c r="H360" s="5"/>
      <x:c r="I360" s="5"/>
      <x:c r="J360" s="24" t="str">
        <x:f>IFERROR(VLOOKUP(H360,Dados!$D$2:$F$63,2,0),"ERRO: VERIFICAR COMO DIRETORIA/CANAL")</x:f>
      </x:c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</x:row>
    <x:row r="361" ht="46.5" customHeight="1">
      <x:c r="A361" s="22" t="str">
        <x:f>IFERROR(VLOOKUP(C361,Dados!$A$4:$D$15,3,0),0)</x:f>
      </x:c>
      <x:c r="B361" s="25" t="str">
        <x:f>IFERROR(VLOOKUP(C361,Dados!$A$4:$B$13,2,0),"")</x:f>
      </x:c>
      <x:c r="C361" s="32"/>
      <x:c r="D361" s="5"/>
      <x:c r="E361" s="5"/>
      <x:c r="F361" s="5"/>
      <x:c r="G361" s="5"/>
      <x:c r="H361" s="5"/>
      <x:c r="I361" s="5"/>
      <x:c r="J361" s="24" t="str">
        <x:f>IFERROR(VLOOKUP(H361,Dados!$D$2:$F$63,2,0),"ERRO: VERIFICAR COMO DIRETORIA/CANAL")</x:f>
      </x:c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</x:row>
    <x:row r="362" ht="46.5" customHeight="1">
      <x:c r="A362" s="22" t="str">
        <x:f>IFERROR(VLOOKUP(C362,Dados!$A$4:$D$15,3,0),0)</x:f>
      </x:c>
      <x:c r="B362" s="25" t="str">
        <x:f>IFERROR(VLOOKUP(C362,Dados!$A$4:$B$13,2,0),"")</x:f>
      </x:c>
      <x:c r="C362" s="32"/>
      <x:c r="D362" s="5"/>
      <x:c r="E362" s="5"/>
      <x:c r="F362" s="5"/>
      <x:c r="G362" s="5"/>
      <x:c r="H362" s="5"/>
      <x:c r="I362" s="5"/>
      <x:c r="J362" s="24" t="str">
        <x:f>IFERROR(VLOOKUP(H362,Dados!$D$2:$F$63,2,0),"ERRO: VERIFICAR COMO DIRETORIA/CANAL")</x:f>
      </x:c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</x:row>
    <x:row r="363" ht="46.5" customHeight="1">
      <x:c r="A363" s="22" t="str">
        <x:f>IFERROR(VLOOKUP(C363,Dados!$A$4:$D$15,3,0),0)</x:f>
      </x:c>
      <x:c r="B363" s="25" t="str">
        <x:f>IFERROR(VLOOKUP(C363,Dados!$A$4:$B$13,2,0),"")</x:f>
      </x:c>
      <x:c r="C363" s="32"/>
      <x:c r="D363" s="5"/>
      <x:c r="E363" s="5"/>
      <x:c r="F363" s="5"/>
      <x:c r="G363" s="5"/>
      <x:c r="H363" s="5"/>
      <x:c r="I363" s="5"/>
      <x:c r="J363" s="24" t="str">
        <x:f>IFERROR(VLOOKUP(H363,Dados!$D$2:$F$63,2,0),"ERRO: VERIFICAR COMO DIRETORIA/CANAL")</x:f>
      </x:c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</x:row>
    <x:row r="364" ht="46.5" customHeight="1">
      <x:c r="A364" s="22" t="str">
        <x:f>IFERROR(VLOOKUP(C364,Dados!$A$4:$D$15,3,0),0)</x:f>
      </x:c>
      <x:c r="B364" s="25" t="str">
        <x:f>IFERROR(VLOOKUP(C364,Dados!$A$4:$B$13,2,0),"")</x:f>
      </x:c>
      <x:c r="C364" s="32"/>
      <x:c r="D364" s="5"/>
      <x:c r="E364" s="5"/>
      <x:c r="F364" s="5"/>
      <x:c r="G364" s="5"/>
      <x:c r="H364" s="5"/>
      <x:c r="I364" s="5"/>
      <x:c r="J364" s="24" t="str">
        <x:f>IFERROR(VLOOKUP(H364,Dados!$D$2:$F$63,2,0),"ERRO: VERIFICAR COMO DIRETORIA/CANAL")</x:f>
      </x:c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</x:row>
    <x:row r="365" ht="46.5" customHeight="1">
      <x:c r="A365" s="22" t="str">
        <x:f>IFERROR(VLOOKUP(C365,Dados!$A$4:$D$15,3,0),0)</x:f>
      </x:c>
      <x:c r="B365" s="25" t="str">
        <x:f>IFERROR(VLOOKUP(C365,Dados!$A$4:$B$13,2,0),"")</x:f>
      </x:c>
      <x:c r="C365" s="32"/>
      <x:c r="D365" s="5"/>
      <x:c r="E365" s="5"/>
      <x:c r="F365" s="5"/>
      <x:c r="G365" s="5"/>
      <x:c r="H365" s="5"/>
      <x:c r="I365" s="5"/>
      <x:c r="J365" s="24" t="str">
        <x:f>IFERROR(VLOOKUP(H365,Dados!$D$2:$F$63,2,0),"ERRO: VERIFICAR COMO DIRETORIA/CANAL")</x:f>
      </x:c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</x:row>
    <x:row r="366" ht="46.5" customHeight="1">
      <x:c r="A366" s="22" t="str">
        <x:f>IFERROR(VLOOKUP(C366,Dados!$A$4:$D$15,3,0),0)</x:f>
      </x:c>
      <x:c r="B366" s="25" t="str">
        <x:f>IFERROR(VLOOKUP(C366,Dados!$A$4:$B$13,2,0),"")</x:f>
      </x:c>
      <x:c r="C366" s="32"/>
      <x:c r="D366" s="5"/>
      <x:c r="E366" s="5"/>
      <x:c r="F366" s="5"/>
      <x:c r="G366" s="5"/>
      <x:c r="H366" s="5"/>
      <x:c r="I366" s="5"/>
      <x:c r="J366" s="24" t="str">
        <x:f>IFERROR(VLOOKUP(H366,Dados!$D$2:$F$63,2,0),"ERRO: VERIFICAR COMO DIRETORIA/CANAL")</x:f>
      </x:c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</x:row>
    <x:row r="367" ht="46.5" customHeight="1">
      <x:c r="A367" s="22" t="str">
        <x:f>IFERROR(VLOOKUP(C367,Dados!$A$4:$D$15,3,0),0)</x:f>
      </x:c>
      <x:c r="B367" s="25" t="str">
        <x:f>IFERROR(VLOOKUP(C367,Dados!$A$4:$B$13,2,0),"")</x:f>
      </x:c>
      <x:c r="C367" s="32"/>
      <x:c r="D367" s="5"/>
      <x:c r="E367" s="5"/>
      <x:c r="F367" s="5"/>
      <x:c r="G367" s="5"/>
      <x:c r="H367" s="5"/>
      <x:c r="I367" s="5"/>
      <x:c r="J367" s="24" t="str">
        <x:f>IFERROR(VLOOKUP(H367,Dados!$D$2:$F$63,2,0),"ERRO: VERIFICAR COMO DIRETORIA/CANAL")</x:f>
      </x:c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</x:row>
    <x:row r="368" ht="46.5" customHeight="1">
      <x:c r="A368" s="22" t="str">
        <x:f>IFERROR(VLOOKUP(C368,Dados!$A$4:$D$15,3,0),0)</x:f>
      </x:c>
      <x:c r="B368" s="25" t="str">
        <x:f>IFERROR(VLOOKUP(C368,Dados!$A$4:$B$13,2,0),"")</x:f>
      </x:c>
      <x:c r="C368" s="32"/>
      <x:c r="D368" s="5"/>
      <x:c r="E368" s="5"/>
      <x:c r="F368" s="5"/>
      <x:c r="G368" s="5"/>
      <x:c r="H368" s="5"/>
      <x:c r="I368" s="5"/>
      <x:c r="J368" s="24" t="str">
        <x:f>IFERROR(VLOOKUP(H368,Dados!$D$2:$F$63,2,0),"ERRO: VERIFICAR COMO DIRETORIA/CANAL")</x:f>
      </x:c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</x:row>
    <x:row r="369" ht="46.5" customHeight="1">
      <x:c r="A369" s="22" t="str">
        <x:f>IFERROR(VLOOKUP(C369,Dados!$A$4:$D$15,3,0),0)</x:f>
      </x:c>
      <x:c r="B369" s="25" t="str">
        <x:f>IFERROR(VLOOKUP(C369,Dados!$A$4:$B$13,2,0),"")</x:f>
      </x:c>
      <x:c r="C369" s="32"/>
      <x:c r="D369" s="5"/>
      <x:c r="E369" s="5"/>
      <x:c r="F369" s="5"/>
      <x:c r="G369" s="5"/>
      <x:c r="H369" s="5"/>
      <x:c r="I369" s="5"/>
      <x:c r="J369" s="24" t="str">
        <x:f>IFERROR(VLOOKUP(H369,Dados!$D$2:$F$63,2,0),"ERRO: VERIFICAR COMO DIRETORIA/CANAL")</x:f>
      </x:c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</x:row>
    <x:row r="370" ht="46.5" customHeight="1">
      <x:c r="A370" s="22" t="str">
        <x:f>IFERROR(VLOOKUP(C370,Dados!$A$4:$D$15,3,0),0)</x:f>
      </x:c>
      <x:c r="B370" s="25" t="str">
        <x:f>IFERROR(VLOOKUP(C370,Dados!$A$4:$B$13,2,0),"")</x:f>
      </x:c>
      <x:c r="C370" s="32"/>
      <x:c r="D370" s="5"/>
      <x:c r="E370" s="5"/>
      <x:c r="F370" s="5"/>
      <x:c r="G370" s="5"/>
      <x:c r="H370" s="5"/>
      <x:c r="I370" s="5"/>
      <x:c r="J370" s="24" t="str">
        <x:f>IFERROR(VLOOKUP(H370,Dados!$D$2:$F$63,2,0),"ERRO: VERIFICAR COMO DIRETORIA/CANAL")</x:f>
      </x:c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</x:row>
    <x:row r="371" ht="46.5" customHeight="1">
      <x:c r="A371" s="22" t="str">
        <x:f>IFERROR(VLOOKUP(C371,Dados!$A$4:$D$15,3,0),0)</x:f>
      </x:c>
      <x:c r="B371" s="25" t="str">
        <x:f>IFERROR(VLOOKUP(C371,Dados!$A$4:$B$13,2,0),"")</x:f>
      </x:c>
      <x:c r="C371" s="32"/>
      <x:c r="D371" s="5"/>
      <x:c r="E371" s="5"/>
      <x:c r="F371" s="5"/>
      <x:c r="G371" s="5"/>
      <x:c r="H371" s="5"/>
      <x:c r="I371" s="5"/>
      <x:c r="J371" s="24" t="str">
        <x:f>IFERROR(VLOOKUP(H371,Dados!$D$2:$F$63,2,0),"ERRO: VERIFICAR COMO DIRETORIA/CANAL")</x:f>
      </x:c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</x:row>
    <x:row r="372" ht="46.5" customHeight="1">
      <x:c r="A372" s="22" t="str">
        <x:f>IFERROR(VLOOKUP(C372,Dados!$A$4:$D$15,3,0),0)</x:f>
      </x:c>
      <x:c r="B372" s="25" t="str">
        <x:f>IFERROR(VLOOKUP(C372,Dados!$A$4:$B$13,2,0),"")</x:f>
      </x:c>
      <x:c r="C372" s="32"/>
      <x:c r="D372" s="5"/>
      <x:c r="E372" s="5"/>
      <x:c r="F372" s="5"/>
      <x:c r="G372" s="5"/>
      <x:c r="H372" s="5"/>
      <x:c r="I372" s="5"/>
      <x:c r="J372" s="24" t="str">
        <x:f>IFERROR(VLOOKUP(H372,Dados!$D$2:$F$63,2,0),"ERRO: VERIFICAR COMO DIRETORIA/CANAL")</x:f>
      </x:c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</x:row>
    <x:row r="373" ht="46.5" customHeight="1">
      <x:c r="A373" s="22" t="str">
        <x:f>IFERROR(VLOOKUP(C373,Dados!$A$4:$D$15,3,0),0)</x:f>
      </x:c>
      <x:c r="B373" s="25" t="str">
        <x:f>IFERROR(VLOOKUP(C373,Dados!$A$4:$B$13,2,0),"")</x:f>
      </x:c>
      <x:c r="C373" s="32"/>
      <x:c r="D373" s="5"/>
      <x:c r="E373" s="5"/>
      <x:c r="F373" s="5"/>
      <x:c r="G373" s="5"/>
      <x:c r="H373" s="5"/>
      <x:c r="I373" s="5"/>
      <x:c r="J373" s="24" t="str">
        <x:f>IFERROR(VLOOKUP(H373,Dados!$D$2:$F$63,2,0),"ERRO: VERIFICAR COMO DIRETORIA/CANAL")</x:f>
      </x:c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</x:row>
    <x:row r="374" ht="46.5" customHeight="1">
      <x:c r="A374" s="22" t="str">
        <x:f>IFERROR(VLOOKUP(C374,Dados!$A$4:$D$15,3,0),0)</x:f>
      </x:c>
      <x:c r="B374" s="25" t="str">
        <x:f>IFERROR(VLOOKUP(C374,Dados!$A$4:$B$13,2,0),"")</x:f>
      </x:c>
      <x:c r="C374" s="32"/>
      <x:c r="D374" s="5"/>
      <x:c r="E374" s="5"/>
      <x:c r="F374" s="5"/>
      <x:c r="G374" s="5"/>
      <x:c r="H374" s="5"/>
      <x:c r="I374" s="5"/>
      <x:c r="J374" s="24" t="str">
        <x:f>IFERROR(VLOOKUP(H374,Dados!$D$2:$F$63,2,0),"ERRO: VERIFICAR COMO DIRETORIA/CANAL")</x:f>
      </x:c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</x:row>
    <x:row r="375" ht="46.5" customHeight="1">
      <x:c r="A375" s="22" t="str">
        <x:f>IFERROR(VLOOKUP(C375,Dados!$A$4:$D$15,3,0),0)</x:f>
      </x:c>
      <x:c r="B375" s="25" t="str">
        <x:f>IFERROR(VLOOKUP(C375,Dados!$A$4:$B$13,2,0),"")</x:f>
      </x:c>
      <x:c r="C375" s="32"/>
      <x:c r="D375" s="5"/>
      <x:c r="E375" s="5"/>
      <x:c r="F375" s="5"/>
      <x:c r="G375" s="5"/>
      <x:c r="H375" s="5"/>
      <x:c r="I375" s="5"/>
      <x:c r="J375" s="24" t="str">
        <x:f>IFERROR(VLOOKUP(H375,Dados!$D$2:$F$63,2,0),"ERRO: VERIFICAR COMO DIRETORIA/CANAL")</x:f>
      </x:c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</x:row>
    <x:row r="376" ht="46.5" customHeight="1">
      <x:c r="A376" s="22" t="str">
        <x:f>IFERROR(VLOOKUP(C376,Dados!$A$4:$D$15,3,0),0)</x:f>
      </x:c>
      <x:c r="B376" s="25" t="str">
        <x:f>IFERROR(VLOOKUP(C376,Dados!$A$4:$B$13,2,0),"")</x:f>
      </x:c>
      <x:c r="C376" s="32"/>
      <x:c r="D376" s="5"/>
      <x:c r="E376" s="5"/>
      <x:c r="F376" s="5"/>
      <x:c r="G376" s="5"/>
      <x:c r="H376" s="5"/>
      <x:c r="I376" s="5"/>
      <x:c r="J376" s="24" t="str">
        <x:f>IFERROR(VLOOKUP(H376,Dados!$D$2:$F$63,2,0),"ERRO: VERIFICAR COMO DIRETORIA/CANAL")</x:f>
      </x:c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</x:row>
    <x:row r="377" ht="46.5" customHeight="1">
      <x:c r="A377" s="22" t="str">
        <x:f>IFERROR(VLOOKUP(C377,Dados!$A$4:$D$15,3,0),0)</x:f>
      </x:c>
      <x:c r="B377" s="25" t="str">
        <x:f>IFERROR(VLOOKUP(C377,Dados!$A$4:$B$13,2,0),"")</x:f>
      </x:c>
      <x:c r="C377" s="32"/>
      <x:c r="D377" s="5"/>
      <x:c r="E377" s="5"/>
      <x:c r="F377" s="5"/>
      <x:c r="G377" s="5"/>
      <x:c r="H377" s="5"/>
      <x:c r="I377" s="5"/>
      <x:c r="J377" s="24" t="str">
        <x:f>IFERROR(VLOOKUP(H377,Dados!$D$2:$F$63,2,0),"ERRO: VERIFICAR COMO DIRETORIA/CANAL")</x:f>
      </x:c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</x:row>
    <x:row r="378" ht="46.5" customHeight="1">
      <x:c r="A378" s="22" t="str">
        <x:f>IFERROR(VLOOKUP(C378,Dados!$A$4:$D$15,3,0),0)</x:f>
      </x:c>
      <x:c r="B378" s="25" t="str">
        <x:f>IFERROR(VLOOKUP(C378,Dados!$A$4:$B$13,2,0),"")</x:f>
      </x:c>
      <x:c r="C378" s="32"/>
      <x:c r="D378" s="5"/>
      <x:c r="E378" s="5"/>
      <x:c r="F378" s="5"/>
      <x:c r="G378" s="5"/>
      <x:c r="H378" s="5"/>
      <x:c r="I378" s="5"/>
      <x:c r="J378" s="24" t="str">
        <x:f>IFERROR(VLOOKUP(H378,Dados!$D$2:$F$63,2,0),"ERRO: VERIFICAR COMO DIRETORIA/CANAL")</x:f>
      </x:c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</x:row>
    <x:row r="379" ht="46.5" customHeight="1">
      <x:c r="A379" s="22" t="str">
        <x:f>IFERROR(VLOOKUP(C379,Dados!$A$4:$D$15,3,0),0)</x:f>
      </x:c>
      <x:c r="B379" s="25" t="str">
        <x:f>IFERROR(VLOOKUP(C379,Dados!$A$4:$B$13,2,0),"")</x:f>
      </x:c>
      <x:c r="C379" s="32"/>
      <x:c r="D379" s="5"/>
      <x:c r="E379" s="5"/>
      <x:c r="F379" s="5"/>
      <x:c r="G379" s="5"/>
      <x:c r="H379" s="5"/>
      <x:c r="I379" s="5"/>
      <x:c r="J379" s="24" t="str">
        <x:f>IFERROR(VLOOKUP(H379,Dados!$D$2:$F$63,2,0),"ERRO: VERIFICAR COMO DIRETORIA/CANAL")</x:f>
      </x:c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</x:row>
    <x:row r="380" ht="46.5" customHeight="1">
      <x:c r="A380" s="22" t="str">
        <x:f>IFERROR(VLOOKUP(C380,Dados!$A$4:$D$15,3,0),0)</x:f>
      </x:c>
      <x:c r="B380" s="25" t="str">
        <x:f>IFERROR(VLOOKUP(C380,Dados!$A$4:$B$13,2,0),"")</x:f>
      </x:c>
      <x:c r="C380" s="32"/>
      <x:c r="D380" s="5"/>
      <x:c r="E380" s="5"/>
      <x:c r="F380" s="5"/>
      <x:c r="G380" s="5"/>
      <x:c r="H380" s="5"/>
      <x:c r="I380" s="5"/>
      <x:c r="J380" s="24" t="str">
        <x:f>IFERROR(VLOOKUP(H380,Dados!$D$2:$F$63,2,0),"ERRO: VERIFICAR COMO DIRETORIA/CANAL")</x:f>
      </x:c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</x:row>
    <x:row r="381" ht="46.5" customHeight="1">
      <x:c r="A381" s="22" t="str">
        <x:f>IFERROR(VLOOKUP(C381,Dados!$A$4:$D$15,3,0),0)</x:f>
      </x:c>
      <x:c r="B381" s="25" t="str">
        <x:f>IFERROR(VLOOKUP(C381,Dados!$A$4:$B$13,2,0),"")</x:f>
      </x:c>
      <x:c r="C381" s="32"/>
      <x:c r="D381" s="5"/>
      <x:c r="E381" s="5"/>
      <x:c r="F381" s="5"/>
      <x:c r="G381" s="5"/>
      <x:c r="H381" s="5"/>
      <x:c r="I381" s="5"/>
      <x:c r="J381" s="24" t="str">
        <x:f>IFERROR(VLOOKUP(H381,Dados!$D$2:$F$63,2,0),"ERRO: VERIFICAR COMO DIRETORIA/CANAL")</x:f>
      </x:c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</x:row>
    <x:row r="382" ht="46.5" customHeight="1">
      <x:c r="A382" s="22" t="str">
        <x:f>IFERROR(VLOOKUP(C382,Dados!$A$4:$D$15,3,0),0)</x:f>
      </x:c>
      <x:c r="B382" s="25" t="str">
        <x:f>IFERROR(VLOOKUP(C382,Dados!$A$4:$B$13,2,0),"")</x:f>
      </x:c>
      <x:c r="C382" s="32"/>
      <x:c r="D382" s="5"/>
      <x:c r="E382" s="5"/>
      <x:c r="F382" s="5"/>
      <x:c r="G382" s="5"/>
      <x:c r="H382" s="5"/>
      <x:c r="I382" s="5"/>
      <x:c r="J382" s="24" t="str">
        <x:f>IFERROR(VLOOKUP(H382,Dados!$D$2:$F$63,2,0),"ERRO: VERIFICAR COMO DIRETORIA/CANAL")</x:f>
      </x:c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</x:row>
    <x:row r="383" ht="46.5" customHeight="1">
      <x:c r="A383" s="22" t="str">
        <x:f>IFERROR(VLOOKUP(C383,Dados!$A$4:$D$15,3,0),0)</x:f>
      </x:c>
      <x:c r="B383" s="25" t="str">
        <x:f>IFERROR(VLOOKUP(C383,Dados!$A$4:$B$13,2,0),"")</x:f>
      </x:c>
      <x:c r="C383" s="32"/>
      <x:c r="D383" s="5"/>
      <x:c r="E383" s="5"/>
      <x:c r="F383" s="5"/>
      <x:c r="G383" s="5"/>
      <x:c r="H383" s="5"/>
      <x:c r="I383" s="5"/>
      <x:c r="J383" s="24" t="str">
        <x:f>IFERROR(VLOOKUP(H383,Dados!$D$2:$F$63,2,0),"ERRO: VERIFICAR COMO DIRETORIA/CANAL")</x:f>
      </x:c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</x:row>
    <x:row r="384" ht="46.5" customHeight="1">
      <x:c r="A384" s="22" t="str">
        <x:f>IFERROR(VLOOKUP(C384,Dados!$A$4:$D$15,3,0),0)</x:f>
      </x:c>
      <x:c r="B384" s="25" t="str">
        <x:f>IFERROR(VLOOKUP(C384,Dados!$A$4:$B$13,2,0),"")</x:f>
      </x:c>
      <x:c r="C384" s="32"/>
      <x:c r="D384" s="5"/>
      <x:c r="E384" s="5"/>
      <x:c r="F384" s="5"/>
      <x:c r="G384" s="5"/>
      <x:c r="H384" s="5"/>
      <x:c r="I384" s="5"/>
      <x:c r="J384" s="24" t="str">
        <x:f>IFERROR(VLOOKUP(H384,Dados!$D$2:$F$63,2,0),"ERRO: VERIFICAR COMO DIRETORIA/CANAL")</x:f>
      </x:c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</x:row>
    <x:row r="385" ht="46.5" customHeight="1">
      <x:c r="A385" s="22" t="str">
        <x:f>IFERROR(VLOOKUP(C385,Dados!$A$4:$D$15,3,0),0)</x:f>
      </x:c>
      <x:c r="B385" s="25" t="str">
        <x:f>IFERROR(VLOOKUP(C385,Dados!$A$4:$B$13,2,0),"")</x:f>
      </x:c>
      <x:c r="C385" s="32"/>
      <x:c r="D385" s="5"/>
      <x:c r="E385" s="5"/>
      <x:c r="F385" s="5"/>
      <x:c r="G385" s="5"/>
      <x:c r="H385" s="5"/>
      <x:c r="I385" s="5"/>
      <x:c r="J385" s="24" t="str">
        <x:f>IFERROR(VLOOKUP(H385,Dados!$D$2:$F$63,2,0),"ERRO: VERIFICAR COMO DIRETORIA/CANAL")</x:f>
      </x:c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</x:row>
    <x:row r="386" ht="46.5" customHeight="1">
      <x:c r="A386" s="22" t="str">
        <x:f>IFERROR(VLOOKUP(C386,Dados!$A$4:$D$15,3,0),0)</x:f>
      </x:c>
      <x:c r="B386" s="25" t="str">
        <x:f>IFERROR(VLOOKUP(C386,Dados!$A$4:$B$13,2,0),"")</x:f>
      </x:c>
      <x:c r="C386" s="32"/>
      <x:c r="D386" s="5"/>
      <x:c r="E386" s="5"/>
      <x:c r="F386" s="5"/>
      <x:c r="G386" s="5"/>
      <x:c r="H386" s="5"/>
      <x:c r="I386" s="5"/>
      <x:c r="J386" s="24" t="str">
        <x:f>IFERROR(VLOOKUP(H386,Dados!$D$2:$F$63,2,0),"ERRO: VERIFICAR COMO DIRETORIA/CANAL")</x:f>
      </x:c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</x:row>
    <x:row r="387" ht="46.5" customHeight="1">
      <x:c r="A387" s="22" t="str">
        <x:f>IFERROR(VLOOKUP(C387,Dados!$A$4:$D$15,3,0),0)</x:f>
      </x:c>
      <x:c r="B387" s="25" t="str">
        <x:f>IFERROR(VLOOKUP(C387,Dados!$A$4:$B$13,2,0),"")</x:f>
      </x:c>
      <x:c r="C387" s="32"/>
      <x:c r="D387" s="5"/>
      <x:c r="E387" s="5"/>
      <x:c r="F387" s="5"/>
      <x:c r="G387" s="5"/>
      <x:c r="H387" s="5"/>
      <x:c r="I387" s="5"/>
      <x:c r="J387" s="24" t="str">
        <x:f>IFERROR(VLOOKUP(H387,Dados!$D$2:$F$63,2,0),"ERRO: VERIFICAR COMO DIRETORIA/CANAL")</x:f>
      </x:c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</x:row>
    <x:row r="388" ht="46.5" customHeight="1">
      <x:c r="A388" s="22" t="str">
        <x:f>IFERROR(VLOOKUP(C388,Dados!$A$4:$D$15,3,0),0)</x:f>
      </x:c>
      <x:c r="B388" s="25" t="str">
        <x:f>IFERROR(VLOOKUP(C388,Dados!$A$4:$B$13,2,0),"")</x:f>
      </x:c>
      <x:c r="C388" s="32"/>
      <x:c r="D388" s="5"/>
      <x:c r="E388" s="5"/>
      <x:c r="F388" s="5"/>
      <x:c r="G388" s="5"/>
      <x:c r="H388" s="5"/>
      <x:c r="I388" s="5"/>
      <x:c r="J388" s="24" t="str">
        <x:f>IFERROR(VLOOKUP(H388,Dados!$D$2:$F$63,2,0),"ERRO: VERIFICAR COMO DIRETORIA/CANAL")</x:f>
      </x:c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</x:row>
    <x:row r="389" ht="46.5" customHeight="1">
      <x:c r="A389" s="22" t="str">
        <x:f>IFERROR(VLOOKUP(C389,Dados!$A$4:$D$15,3,0),0)</x:f>
      </x:c>
      <x:c r="B389" s="25" t="str">
        <x:f>IFERROR(VLOOKUP(C389,Dados!$A$4:$B$13,2,0),"")</x:f>
      </x:c>
      <x:c r="C389" s="32"/>
      <x:c r="D389" s="5"/>
      <x:c r="E389" s="5"/>
      <x:c r="F389" s="5"/>
      <x:c r="G389" s="5"/>
      <x:c r="H389" s="5"/>
      <x:c r="I389" s="5"/>
      <x:c r="J389" s="24" t="str">
        <x:f>IFERROR(VLOOKUP(H389,Dados!$D$2:$F$63,2,0),"ERRO: VERIFICAR COMO DIRETORIA/CANAL")</x:f>
      </x:c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</x:row>
    <x:row r="390" ht="46.5" customHeight="1">
      <x:c r="A390" s="22" t="str">
        <x:f>IFERROR(VLOOKUP(C390,Dados!$A$4:$D$15,3,0),0)</x:f>
      </x:c>
      <x:c r="B390" s="25" t="str">
        <x:f>IFERROR(VLOOKUP(C390,Dados!$A$4:$B$13,2,0),"")</x:f>
      </x:c>
      <x:c r="C390" s="32"/>
      <x:c r="D390" s="5"/>
      <x:c r="E390" s="5"/>
      <x:c r="F390" s="5"/>
      <x:c r="G390" s="5"/>
      <x:c r="H390" s="5"/>
      <x:c r="I390" s="5"/>
      <x:c r="J390" s="24" t="str">
        <x:f>IFERROR(VLOOKUP(H390,Dados!$D$2:$F$63,2,0),"ERRO: VERIFICAR COMO DIRETORIA/CANAL")</x:f>
      </x:c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</x:row>
    <x:row r="391" ht="46.5" customHeight="1">
      <x:c r="A391" s="22" t="str">
        <x:f>IFERROR(VLOOKUP(C391,Dados!$A$4:$D$15,3,0),0)</x:f>
      </x:c>
      <x:c r="B391" s="25" t="str">
        <x:f>IFERROR(VLOOKUP(C391,Dados!$A$4:$B$13,2,0),"")</x:f>
      </x:c>
      <x:c r="C391" s="32"/>
      <x:c r="D391" s="5"/>
      <x:c r="E391" s="5"/>
      <x:c r="F391" s="5"/>
      <x:c r="G391" s="5"/>
      <x:c r="H391" s="5"/>
      <x:c r="I391" s="5"/>
      <x:c r="J391" s="24" t="str">
        <x:f>IFERROR(VLOOKUP(H391,Dados!$D$2:$F$63,2,0),"ERRO: VERIFICAR COMO DIRETORIA/CANAL")</x:f>
      </x:c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</x:row>
    <x:row r="392" ht="46.5" customHeight="1">
      <x:c r="A392" s="22" t="str">
        <x:f>IFERROR(VLOOKUP(C392,Dados!$A$4:$D$15,3,0),0)</x:f>
      </x:c>
      <x:c r="B392" s="25" t="str">
        <x:f>IFERROR(VLOOKUP(C392,Dados!$A$4:$B$13,2,0),"")</x:f>
      </x:c>
      <x:c r="C392" s="32"/>
      <x:c r="D392" s="5"/>
      <x:c r="E392" s="5"/>
      <x:c r="F392" s="5"/>
      <x:c r="G392" s="5"/>
      <x:c r="H392" s="5"/>
      <x:c r="I392" s="5"/>
      <x:c r="J392" s="24" t="str">
        <x:f>IFERROR(VLOOKUP(H392,Dados!$D$2:$F$63,2,0),"ERRO: VERIFICAR COMO DIRETORIA/CANAL")</x:f>
      </x:c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</x:row>
    <x:row r="393" ht="46.5" customHeight="1">
      <x:c r="A393" s="22" t="str">
        <x:f>IFERROR(VLOOKUP(C393,Dados!$A$4:$D$15,3,0),0)</x:f>
      </x:c>
      <x:c r="B393" s="25" t="str">
        <x:f>IFERROR(VLOOKUP(C393,Dados!$A$4:$B$13,2,0),"")</x:f>
      </x:c>
      <x:c r="C393" s="32"/>
      <x:c r="D393" s="5"/>
      <x:c r="E393" s="5"/>
      <x:c r="F393" s="5"/>
      <x:c r="G393" s="5"/>
      <x:c r="H393" s="5"/>
      <x:c r="I393" s="5"/>
      <x:c r="J393" s="24" t="str">
        <x:f>IFERROR(VLOOKUP(H393,Dados!$D$2:$F$63,2,0),"ERRO: VERIFICAR COMO DIRETORIA/CANAL")</x:f>
      </x:c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</x:row>
    <x:row r="394" ht="46.5" customHeight="1">
      <x:c r="A394" s="22" t="str">
        <x:f>IFERROR(VLOOKUP(C394,Dados!$A$4:$D$15,3,0),0)</x:f>
      </x:c>
      <x:c r="B394" s="25" t="str">
        <x:f>IFERROR(VLOOKUP(C394,Dados!$A$4:$B$13,2,0),"")</x:f>
      </x:c>
      <x:c r="C394" s="32"/>
      <x:c r="D394" s="5"/>
      <x:c r="E394" s="5"/>
      <x:c r="F394" s="5"/>
      <x:c r="G394" s="5"/>
      <x:c r="H394" s="5"/>
      <x:c r="I394" s="5"/>
      <x:c r="J394" s="24" t="str">
        <x:f>IFERROR(VLOOKUP(H394,Dados!$D$2:$F$63,2,0),"ERRO: VERIFICAR COMO DIRETORIA/CANAL")</x:f>
      </x:c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</x:row>
    <x:row r="395" ht="46.5" customHeight="1">
      <x:c r="A395" s="22" t="str">
        <x:f>IFERROR(VLOOKUP(C395,Dados!$A$4:$D$15,3,0),0)</x:f>
      </x:c>
      <x:c r="B395" s="25" t="str">
        <x:f>IFERROR(VLOOKUP(C395,Dados!$A$4:$B$13,2,0),"")</x:f>
      </x:c>
      <x:c r="C395" s="32"/>
      <x:c r="D395" s="5"/>
      <x:c r="E395" s="5"/>
      <x:c r="F395" s="5"/>
      <x:c r="G395" s="5"/>
      <x:c r="H395" s="5"/>
      <x:c r="I395" s="5"/>
      <x:c r="J395" s="24" t="str">
        <x:f>IFERROR(VLOOKUP(H395,Dados!$D$2:$F$63,2,0),"ERRO: VERIFICAR COMO DIRETORIA/CANAL")</x:f>
      </x:c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</x:row>
    <x:row r="396" ht="46.5" customHeight="1">
      <x:c r="A396" s="22" t="str">
        <x:f>IFERROR(VLOOKUP(C396,Dados!$A$4:$D$15,3,0),0)</x:f>
      </x:c>
      <x:c r="B396" s="25" t="str">
        <x:f>IFERROR(VLOOKUP(C396,Dados!$A$4:$B$13,2,0),"")</x:f>
      </x:c>
      <x:c r="C396" s="32"/>
      <x:c r="D396" s="5"/>
      <x:c r="E396" s="5"/>
      <x:c r="F396" s="5"/>
      <x:c r="G396" s="5"/>
      <x:c r="H396" s="5"/>
      <x:c r="I396" s="5"/>
      <x:c r="J396" s="24" t="str">
        <x:f>IFERROR(VLOOKUP(H396,Dados!$D$2:$F$63,2,0),"ERRO: VERIFICAR COMO DIRETORIA/CANAL")</x:f>
      </x:c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</x:row>
    <x:row r="397" ht="46.5" customHeight="1">
      <x:c r="A397" s="22" t="str">
        <x:f>IFERROR(VLOOKUP(C397,Dados!$A$4:$D$15,3,0),0)</x:f>
      </x:c>
      <x:c r="B397" s="25" t="str">
        <x:f>IFERROR(VLOOKUP(C397,Dados!$A$4:$B$13,2,0),"")</x:f>
      </x:c>
      <x:c r="C397" s="32"/>
      <x:c r="D397" s="5"/>
      <x:c r="E397" s="5"/>
      <x:c r="F397" s="5"/>
      <x:c r="G397" s="5"/>
      <x:c r="H397" s="5"/>
      <x:c r="I397" s="5"/>
      <x:c r="J397" s="24" t="str">
        <x:f>IFERROR(VLOOKUP(H397,Dados!$D$2:$F$63,2,0),"ERRO: VERIFICAR COMO DIRETORIA/CANAL")</x:f>
      </x:c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</x:row>
    <x:row r="398" ht="46.5" customHeight="1">
      <x:c r="A398" s="22" t="str">
        <x:f>IFERROR(VLOOKUP(C398,Dados!$A$4:$D$15,3,0),0)</x:f>
      </x:c>
      <x:c r="B398" s="25" t="str">
        <x:f>IFERROR(VLOOKUP(C398,Dados!$A$4:$B$13,2,0),"")</x:f>
      </x:c>
      <x:c r="C398" s="32"/>
      <x:c r="D398" s="5"/>
      <x:c r="E398" s="5"/>
      <x:c r="F398" s="5"/>
      <x:c r="G398" s="5"/>
      <x:c r="H398" s="5"/>
      <x:c r="I398" s="5"/>
      <x:c r="J398" s="24" t="str">
        <x:f>IFERROR(VLOOKUP(H398,Dados!$D$2:$F$63,2,0),"ERRO: VERIFICAR COMO DIRETORIA/CANAL")</x:f>
      </x:c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</x:row>
    <x:row r="399" ht="46.5" customHeight="1">
      <x:c r="A399" s="22" t="str">
        <x:f>IFERROR(VLOOKUP(C399,Dados!$A$4:$D$15,3,0),0)</x:f>
      </x:c>
      <x:c r="B399" s="25" t="str">
        <x:f>IFERROR(VLOOKUP(C399,Dados!$A$4:$B$13,2,0),"")</x:f>
      </x:c>
      <x:c r="C399" s="32"/>
      <x:c r="D399" s="5"/>
      <x:c r="E399" s="5"/>
      <x:c r="F399" s="5"/>
      <x:c r="G399" s="5"/>
      <x:c r="H399" s="5"/>
      <x:c r="I399" s="5"/>
      <x:c r="J399" s="24" t="str">
        <x:f>IFERROR(VLOOKUP(H399,Dados!$D$2:$F$63,2,0),"ERRO: VERIFICAR COMO DIRETORIA/CANAL")</x:f>
      </x:c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</x:row>
    <x:row r="400" ht="46.5" customHeight="1">
      <x:c r="A400" s="22" t="str">
        <x:f>IFERROR(VLOOKUP(C400,Dados!$A$4:$D$15,3,0),0)</x:f>
      </x:c>
      <x:c r="B400" s="25" t="str">
        <x:f>IFERROR(VLOOKUP(C400,Dados!$A$4:$B$13,2,0),"")</x:f>
      </x:c>
      <x:c r="C400" s="32"/>
      <x:c r="D400" s="5"/>
      <x:c r="E400" s="5"/>
      <x:c r="F400" s="5"/>
      <x:c r="G400" s="5"/>
      <x:c r="H400" s="5"/>
      <x:c r="I400" s="5"/>
      <x:c r="J400" s="24" t="str">
        <x:f>IFERROR(VLOOKUP(H400,Dados!$D$2:$F$63,2,0),"ERRO: VERIFICAR COMO DIRETORIA/CANAL")</x:f>
      </x:c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</x:row>
    <x:row r="401" ht="46.5" customHeight="1">
      <x:c r="A401" s="22" t="str">
        <x:f>IFERROR(VLOOKUP(C401,Dados!$A$4:$D$15,3,0),0)</x:f>
      </x:c>
      <x:c r="B401" s="25" t="str">
        <x:f>IFERROR(VLOOKUP(C401,Dados!$A$4:$B$13,2,0),"")</x:f>
      </x:c>
      <x:c r="C401" s="32"/>
      <x:c r="D401" s="5"/>
      <x:c r="E401" s="5"/>
      <x:c r="F401" s="5"/>
      <x:c r="G401" s="5"/>
      <x:c r="H401" s="5"/>
      <x:c r="I401" s="5"/>
      <x:c r="J401" s="24" t="str">
        <x:f>IFERROR(VLOOKUP(H401,Dados!$D$2:$F$63,2,0),"ERRO: VERIFICAR COMO DIRETORIA/CANAL")</x:f>
      </x:c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</x:row>
    <x:row r="402" ht="46.5" customHeight="1">
      <x:c r="A402" s="22" t="str">
        <x:f>IFERROR(VLOOKUP(C402,Dados!$A$4:$D$15,3,0),0)</x:f>
      </x:c>
      <x:c r="B402" s="25" t="str">
        <x:f>IFERROR(VLOOKUP(C402,Dados!$A$4:$B$13,2,0),"")</x:f>
      </x:c>
      <x:c r="C402" s="32"/>
      <x:c r="D402" s="5"/>
      <x:c r="E402" s="5"/>
      <x:c r="F402" s="5"/>
      <x:c r="G402" s="5"/>
      <x:c r="H402" s="5"/>
      <x:c r="I402" s="5"/>
      <x:c r="J402" s="24" t="str">
        <x:f>IFERROR(VLOOKUP(H402,Dados!$D$2:$F$63,2,0),"ERRO: VERIFICAR COMO DIRETORIA/CANAL")</x:f>
      </x:c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</x:row>
    <x:row r="403" ht="46.5" customHeight="1">
      <x:c r="A403" s="22" t="str">
        <x:f>IFERROR(VLOOKUP(C403,Dados!$A$4:$D$15,3,0),0)</x:f>
      </x:c>
      <x:c r="B403" s="25" t="str">
        <x:f>IFERROR(VLOOKUP(C403,Dados!$A$4:$B$13,2,0),"")</x:f>
      </x:c>
      <x:c r="C403" s="32"/>
      <x:c r="D403" s="5"/>
      <x:c r="E403" s="5"/>
      <x:c r="F403" s="5"/>
      <x:c r="G403" s="5"/>
      <x:c r="H403" s="5"/>
      <x:c r="I403" s="5"/>
      <x:c r="J403" s="24" t="str">
        <x:f>IFERROR(VLOOKUP(H403,Dados!$D$2:$F$63,2,0),"ERRO: VERIFICAR COMO DIRETORIA/CANAL")</x:f>
      </x:c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</x:row>
    <x:row r="404" ht="46.5" customHeight="1">
      <x:c r="A404" s="22" t="str">
        <x:f>IFERROR(VLOOKUP(C404,Dados!$A$4:$D$15,3,0),0)</x:f>
      </x:c>
      <x:c r="B404" s="25" t="str">
        <x:f>IFERROR(VLOOKUP(C404,Dados!$A$4:$B$13,2,0),"")</x:f>
      </x:c>
      <x:c r="C404" s="32"/>
      <x:c r="D404" s="5"/>
      <x:c r="E404" s="5"/>
      <x:c r="F404" s="5"/>
      <x:c r="G404" s="5"/>
      <x:c r="H404" s="5"/>
      <x:c r="I404" s="5"/>
      <x:c r="J404" s="24" t="str">
        <x:f>IFERROR(VLOOKUP(H404,Dados!$D$2:$F$63,2,0),"ERRO: VERIFICAR COMO DIRETORIA/CANAL")</x:f>
      </x:c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</x:row>
    <x:row r="405" ht="46.5" customHeight="1">
      <x:c r="A405" s="22" t="str">
        <x:f>IFERROR(VLOOKUP(C405,Dados!$A$4:$D$15,3,0),0)</x:f>
      </x:c>
      <x:c r="B405" s="25" t="str">
        <x:f>IFERROR(VLOOKUP(C405,Dados!$A$4:$B$13,2,0),"")</x:f>
      </x:c>
      <x:c r="C405" s="32"/>
      <x:c r="D405" s="5"/>
      <x:c r="E405" s="5"/>
      <x:c r="F405" s="5"/>
      <x:c r="G405" s="5"/>
      <x:c r="H405" s="5"/>
      <x:c r="I405" s="5"/>
      <x:c r="J405" s="24" t="str">
        <x:f>IFERROR(VLOOKUP(H405,Dados!$D$2:$F$63,2,0),"ERRO: VERIFICAR COMO DIRETORIA/CANAL")</x:f>
      </x:c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</x:row>
    <x:row r="406" ht="46.5" customHeight="1">
      <x:c r="A406" s="22" t="str">
        <x:f>IFERROR(VLOOKUP(C406,Dados!$A$4:$D$15,3,0),0)</x:f>
      </x:c>
      <x:c r="B406" s="25" t="str">
        <x:f>IFERROR(VLOOKUP(C406,Dados!$A$4:$B$13,2,0),"")</x:f>
      </x:c>
      <x:c r="C406" s="32"/>
      <x:c r="D406" s="5"/>
      <x:c r="E406" s="5"/>
      <x:c r="F406" s="5"/>
      <x:c r="G406" s="5"/>
      <x:c r="H406" s="5"/>
      <x:c r="I406" s="5"/>
      <x:c r="J406" s="24" t="str">
        <x:f>IFERROR(VLOOKUP(H406,Dados!$D$2:$F$63,2,0),"ERRO: VERIFICAR COMO DIRETORIA/CANAL")</x:f>
      </x:c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</x:row>
    <x:row r="407" ht="46.5" customHeight="1">
      <x:c r="A407" s="22" t="str">
        <x:f>IFERROR(VLOOKUP(C407,Dados!$A$4:$D$15,3,0),0)</x:f>
      </x:c>
      <x:c r="B407" s="25" t="str">
        <x:f>IFERROR(VLOOKUP(C407,Dados!$A$4:$B$13,2,0),"")</x:f>
      </x:c>
      <x:c r="C407" s="32"/>
      <x:c r="D407" s="5"/>
      <x:c r="E407" s="5"/>
      <x:c r="F407" s="5"/>
      <x:c r="G407" s="5"/>
      <x:c r="H407" s="5"/>
      <x:c r="I407" s="5"/>
      <x:c r="J407" s="24" t="str">
        <x:f>IFERROR(VLOOKUP(H407,Dados!$D$2:$F$63,2,0),"ERRO: VERIFICAR COMO DIRETORIA/CANAL")</x:f>
      </x:c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</x:row>
    <x:row r="408" ht="46.5" customHeight="1">
      <x:c r="A408" s="22" t="str">
        <x:f>IFERROR(VLOOKUP(C408,Dados!$A$4:$D$15,3,0),0)</x:f>
      </x:c>
      <x:c r="B408" s="25" t="str">
        <x:f>IFERROR(VLOOKUP(C408,Dados!$A$4:$B$13,2,0),"")</x:f>
      </x:c>
      <x:c r="C408" s="32"/>
      <x:c r="D408" s="5"/>
      <x:c r="E408" s="5"/>
      <x:c r="F408" s="5"/>
      <x:c r="G408" s="5"/>
      <x:c r="H408" s="5"/>
      <x:c r="I408" s="5"/>
      <x:c r="J408" s="24" t="str">
        <x:f>IFERROR(VLOOKUP(H408,Dados!$D$2:$F$63,2,0),"ERRO: VERIFICAR COMO DIRETORIA/CANAL")</x:f>
      </x:c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</x:row>
    <x:row r="409" ht="46.5" customHeight="1">
      <x:c r="A409" s="22" t="str">
        <x:f>IFERROR(VLOOKUP(C409,Dados!$A$4:$D$15,3,0),0)</x:f>
      </x:c>
      <x:c r="B409" s="25" t="str">
        <x:f>IFERROR(VLOOKUP(C409,Dados!$A$4:$B$13,2,0),"")</x:f>
      </x:c>
      <x:c r="C409" s="32"/>
      <x:c r="D409" s="5"/>
      <x:c r="E409" s="5"/>
      <x:c r="F409" s="5"/>
      <x:c r="G409" s="5"/>
      <x:c r="H409" s="5"/>
      <x:c r="I409" s="5"/>
      <x:c r="J409" s="24" t="str">
        <x:f>IFERROR(VLOOKUP(H409,Dados!$D$2:$F$63,2,0),"ERRO: VERIFICAR COMO DIRETORIA/CANAL")</x:f>
      </x:c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</x:row>
    <x:row r="410" ht="46.5" customHeight="1">
      <x:c r="A410" s="22" t="str">
        <x:f>IFERROR(VLOOKUP(C410,Dados!$A$4:$D$15,3,0),0)</x:f>
      </x:c>
      <x:c r="B410" s="25" t="str">
        <x:f>IFERROR(VLOOKUP(C410,Dados!$A$4:$B$13,2,0),"")</x:f>
      </x:c>
      <x:c r="C410" s="32"/>
      <x:c r="D410" s="5"/>
      <x:c r="E410" s="5"/>
      <x:c r="F410" s="5"/>
      <x:c r="G410" s="5"/>
      <x:c r="H410" s="5"/>
      <x:c r="I410" s="5"/>
      <x:c r="J410" s="24" t="str">
        <x:f>IFERROR(VLOOKUP(H410,Dados!$D$2:$F$63,2,0),"ERRO: VERIFICAR COMO DIRETORIA/CANAL")</x:f>
      </x:c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</x:row>
    <x:row r="411" ht="46.5" customHeight="1">
      <x:c r="A411" s="22" t="str">
        <x:f>IFERROR(VLOOKUP(C411,Dados!$A$4:$D$15,3,0),0)</x:f>
      </x:c>
      <x:c r="B411" s="25" t="str">
        <x:f>IFERROR(VLOOKUP(C411,Dados!$A$4:$B$13,2,0),"")</x:f>
      </x:c>
      <x:c r="C411" s="32"/>
      <x:c r="D411" s="5"/>
      <x:c r="E411" s="5"/>
      <x:c r="F411" s="5"/>
      <x:c r="G411" s="5"/>
      <x:c r="H411" s="5"/>
      <x:c r="I411" s="5"/>
      <x:c r="J411" s="24" t="str">
        <x:f>IFERROR(VLOOKUP(H411,Dados!$D$2:$F$63,2,0),"ERRO: VERIFICAR COMO DIRETORIA/CANAL")</x:f>
      </x:c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</x:row>
    <x:row r="412" ht="46.5" customHeight="1">
      <x:c r="A412" s="22" t="str">
        <x:f>IFERROR(VLOOKUP(C412,Dados!$A$4:$D$15,3,0),0)</x:f>
      </x:c>
      <x:c r="B412" s="25" t="str">
        <x:f>IFERROR(VLOOKUP(C412,Dados!$A$4:$B$13,2,0),"")</x:f>
      </x:c>
      <x:c r="C412" s="32"/>
      <x:c r="D412" s="5"/>
      <x:c r="E412" s="5"/>
      <x:c r="F412" s="5"/>
      <x:c r="G412" s="5"/>
      <x:c r="H412" s="5"/>
      <x:c r="I412" s="5"/>
      <x:c r="J412" s="24" t="str">
        <x:f>IFERROR(VLOOKUP(H412,Dados!$D$2:$F$63,2,0),"ERRO: VERIFICAR COMO DIRETORIA/CANAL")</x:f>
      </x:c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</x:row>
    <x:row r="413" ht="46.5" customHeight="1">
      <x:c r="A413" s="22" t="str">
        <x:f>IFERROR(VLOOKUP(C413,Dados!$A$4:$D$15,3,0),0)</x:f>
      </x:c>
      <x:c r="B413" s="25" t="str">
        <x:f>IFERROR(VLOOKUP(C413,Dados!$A$4:$B$13,2,0),"")</x:f>
      </x:c>
      <x:c r="C413" s="32"/>
      <x:c r="D413" s="5"/>
      <x:c r="E413" s="5"/>
      <x:c r="F413" s="5"/>
      <x:c r="G413" s="5"/>
      <x:c r="H413" s="5"/>
      <x:c r="I413" s="5"/>
      <x:c r="J413" s="24" t="str">
        <x:f>IFERROR(VLOOKUP(H413,Dados!$D$2:$F$63,2,0),"ERRO: VERIFICAR COMO DIRETORIA/CANAL")</x:f>
      </x:c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</x:row>
    <x:row r="414" ht="46.5" customHeight="1">
      <x:c r="A414" s="22" t="str">
        <x:f>IFERROR(VLOOKUP(C414,Dados!$A$4:$D$15,3,0),0)</x:f>
      </x:c>
      <x:c r="B414" s="25" t="str">
        <x:f>IFERROR(VLOOKUP(C414,Dados!$A$4:$B$13,2,0),"")</x:f>
      </x:c>
      <x:c r="C414" s="32"/>
      <x:c r="D414" s="5"/>
      <x:c r="E414" s="5"/>
      <x:c r="F414" s="5"/>
      <x:c r="G414" s="5"/>
      <x:c r="H414" s="5"/>
      <x:c r="I414" s="5"/>
      <x:c r="J414" s="24" t="str">
        <x:f>IFERROR(VLOOKUP(H414,Dados!$D$2:$F$63,2,0),"ERRO: VERIFICAR COMO DIRETORIA/CANAL")</x:f>
      </x:c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</x:row>
    <x:row r="415" ht="46.5" customHeight="1">
      <x:c r="A415" s="22" t="str">
        <x:f>IFERROR(VLOOKUP(C415,Dados!$A$4:$D$15,3,0),0)</x:f>
      </x:c>
      <x:c r="B415" s="25" t="str">
        <x:f>IFERROR(VLOOKUP(C415,Dados!$A$4:$B$13,2,0),"")</x:f>
      </x:c>
      <x:c r="C415" s="32"/>
      <x:c r="D415" s="5"/>
      <x:c r="E415" s="5"/>
      <x:c r="F415" s="5"/>
      <x:c r="G415" s="5"/>
      <x:c r="H415" s="5"/>
      <x:c r="I415" s="5"/>
      <x:c r="J415" s="24" t="str">
        <x:f>IFERROR(VLOOKUP(H415,Dados!$D$2:$F$63,2,0),"ERRO: VERIFICAR COMO DIRETORIA/CANAL")</x:f>
      </x:c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</x:row>
    <x:row r="416" ht="46.5" customHeight="1">
      <x:c r="A416" s="22" t="str">
        <x:f>IFERROR(VLOOKUP(C416,Dados!$A$4:$D$15,3,0),0)</x:f>
      </x:c>
      <x:c r="B416" s="25" t="str">
        <x:f>IFERROR(VLOOKUP(C416,Dados!$A$4:$B$13,2,0),"")</x:f>
      </x:c>
      <x:c r="C416" s="32"/>
      <x:c r="D416" s="5"/>
      <x:c r="E416" s="5"/>
      <x:c r="F416" s="5"/>
      <x:c r="G416" s="5"/>
      <x:c r="H416" s="5"/>
      <x:c r="I416" s="5"/>
      <x:c r="J416" s="24" t="str">
        <x:f>IFERROR(VLOOKUP(H416,Dados!$D$2:$F$63,2,0),"ERRO: VERIFICAR COMO DIRETORIA/CANAL")</x:f>
      </x:c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</x:row>
    <x:row r="417" ht="46.5" customHeight="1">
      <x:c r="A417" s="22" t="str">
        <x:f>IFERROR(VLOOKUP(C417,Dados!$A$4:$D$15,3,0),0)</x:f>
      </x:c>
      <x:c r="B417" s="25" t="str">
        <x:f>IFERROR(VLOOKUP(C417,Dados!$A$4:$B$13,2,0),"")</x:f>
      </x:c>
      <x:c r="C417" s="32"/>
      <x:c r="D417" s="5"/>
      <x:c r="E417" s="5"/>
      <x:c r="F417" s="5"/>
      <x:c r="G417" s="5"/>
      <x:c r="H417" s="5"/>
      <x:c r="I417" s="5"/>
      <x:c r="J417" s="24" t="str">
        <x:f>IFERROR(VLOOKUP(H417,Dados!$D$2:$F$63,2,0),"ERRO: VERIFICAR COMO DIRETORIA/CANAL")</x:f>
      </x:c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</x:row>
    <x:row r="418" ht="46.5" customHeight="1">
      <x:c r="A418" s="22" t="str">
        <x:f>IFERROR(VLOOKUP(C418,Dados!$A$4:$D$15,3,0),0)</x:f>
      </x:c>
      <x:c r="B418" s="25" t="str">
        <x:f>IFERROR(VLOOKUP(C418,Dados!$A$4:$B$13,2,0),"")</x:f>
      </x:c>
      <x:c r="C418" s="32"/>
      <x:c r="D418" s="5"/>
      <x:c r="E418" s="5"/>
      <x:c r="F418" s="5"/>
      <x:c r="G418" s="5"/>
      <x:c r="H418" s="5"/>
      <x:c r="I418" s="5"/>
      <x:c r="J418" s="24" t="str">
        <x:f>IFERROR(VLOOKUP(H418,Dados!$D$2:$F$63,2,0),"ERRO: VERIFICAR COMO DIRETORIA/CANAL")</x:f>
      </x:c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</x:row>
    <x:row r="419" ht="46.5" customHeight="1">
      <x:c r="A419" s="22" t="str">
        <x:f>IFERROR(VLOOKUP(C419,Dados!$A$4:$D$15,3,0),0)</x:f>
      </x:c>
      <x:c r="B419" s="25" t="str">
        <x:f>IFERROR(VLOOKUP(C419,Dados!$A$4:$B$13,2,0),"")</x:f>
      </x:c>
      <x:c r="C419" s="32"/>
      <x:c r="D419" s="5"/>
      <x:c r="E419" s="5"/>
      <x:c r="F419" s="5"/>
      <x:c r="G419" s="5"/>
      <x:c r="H419" s="5"/>
      <x:c r="I419" s="5"/>
      <x:c r="J419" s="24" t="str">
        <x:f>IFERROR(VLOOKUP(H419,Dados!$D$2:$F$63,2,0),"ERRO: VERIFICAR COMO DIRETORIA/CANAL")</x:f>
      </x:c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</x:row>
    <x:row r="420" ht="46.5" customHeight="1">
      <x:c r="A420" s="22" t="str">
        <x:f>IFERROR(VLOOKUP(C420,Dados!$A$4:$D$15,3,0),0)</x:f>
      </x:c>
      <x:c r="B420" s="25" t="str">
        <x:f>IFERROR(VLOOKUP(C420,Dados!$A$4:$B$13,2,0),"")</x:f>
      </x:c>
      <x:c r="C420" s="32"/>
      <x:c r="D420" s="5"/>
      <x:c r="E420" s="5"/>
      <x:c r="F420" s="5"/>
      <x:c r="G420" s="5"/>
      <x:c r="H420" s="5"/>
      <x:c r="I420" s="5"/>
      <x:c r="J420" s="24" t="str">
        <x:f>IFERROR(VLOOKUP(H420,Dados!$D$2:$F$63,2,0),"ERRO: VERIFICAR COMO DIRETORIA/CANAL")</x:f>
      </x:c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</x:row>
    <x:row r="421" ht="46.5" customHeight="1">
      <x:c r="A421" s="22" t="str">
        <x:f>IFERROR(VLOOKUP(C421,Dados!$A$4:$D$15,3,0),0)</x:f>
      </x:c>
      <x:c r="B421" s="25" t="str">
        <x:f>IFERROR(VLOOKUP(C421,Dados!$A$4:$B$13,2,0),"")</x:f>
      </x:c>
      <x:c r="C421" s="32"/>
      <x:c r="D421" s="5"/>
      <x:c r="E421" s="5"/>
      <x:c r="F421" s="5"/>
      <x:c r="G421" s="5"/>
      <x:c r="H421" s="5"/>
      <x:c r="I421" s="5"/>
      <x:c r="J421" s="24" t="str">
        <x:f>IFERROR(VLOOKUP(H421,Dados!$D$2:$F$63,2,0),"ERRO: VERIFICAR COMO DIRETORIA/CANAL")</x:f>
      </x:c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</x:row>
    <x:row r="422" ht="46.5" customHeight="1">
      <x:c r="A422" s="22" t="str">
        <x:f>IFERROR(VLOOKUP(C422,Dados!$A$4:$D$15,3,0),0)</x:f>
      </x:c>
      <x:c r="B422" s="25" t="str">
        <x:f>IFERROR(VLOOKUP(C422,Dados!$A$4:$B$13,2,0),"")</x:f>
      </x:c>
      <x:c r="C422" s="32"/>
      <x:c r="D422" s="5"/>
      <x:c r="E422" s="5"/>
      <x:c r="F422" s="5"/>
      <x:c r="G422" s="5"/>
      <x:c r="H422" s="5"/>
      <x:c r="I422" s="5"/>
      <x:c r="J422" s="24" t="str">
        <x:f>IFERROR(VLOOKUP(H422,Dados!$D$2:$F$63,2,0),"ERRO: VERIFICAR COMO DIRETORIA/CANAL")</x:f>
      </x:c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</x:row>
    <x:row r="423" ht="46.5" customHeight="1">
      <x:c r="A423" s="22" t="str">
        <x:f>IFERROR(VLOOKUP(C423,Dados!$A$4:$D$15,3,0),0)</x:f>
      </x:c>
      <x:c r="B423" s="25" t="str">
        <x:f>IFERROR(VLOOKUP(C423,Dados!$A$4:$B$13,2,0),"")</x:f>
      </x:c>
      <x:c r="C423" s="32"/>
      <x:c r="D423" s="5"/>
      <x:c r="E423" s="5"/>
      <x:c r="F423" s="5"/>
      <x:c r="G423" s="5"/>
      <x:c r="H423" s="5"/>
      <x:c r="I423" s="5"/>
      <x:c r="J423" s="24" t="str">
        <x:f>IFERROR(VLOOKUP(H423,Dados!$D$2:$F$63,2,0),"ERRO: VERIFICAR COMO DIRETORIA/CANAL")</x:f>
      </x:c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</x:row>
    <x:row r="424" ht="46.5" customHeight="1">
      <x:c r="A424" s="22" t="str">
        <x:f>IFERROR(VLOOKUP(C424,Dados!$A$4:$D$15,3,0),0)</x:f>
      </x:c>
      <x:c r="B424" s="25" t="str">
        <x:f>IFERROR(VLOOKUP(C424,Dados!$A$4:$B$13,2,0),"")</x:f>
      </x:c>
      <x:c r="C424" s="32"/>
      <x:c r="D424" s="5"/>
      <x:c r="E424" s="5"/>
      <x:c r="F424" s="5"/>
      <x:c r="G424" s="5"/>
      <x:c r="H424" s="5"/>
      <x:c r="I424" s="5"/>
      <x:c r="J424" s="24" t="str">
        <x:f>IFERROR(VLOOKUP(H424,Dados!$D$2:$F$63,2,0),"ERRO: VERIFICAR COMO DIRETORIA/CANAL")</x:f>
      </x:c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</x:row>
    <x:row r="425" ht="46.5" customHeight="1">
      <x:c r="A425" s="22" t="str">
        <x:f>IFERROR(VLOOKUP(C425,Dados!$A$4:$D$15,3,0),0)</x:f>
      </x:c>
      <x:c r="B425" s="25" t="str">
        <x:f>IFERROR(VLOOKUP(C425,Dados!$A$4:$B$13,2,0),"")</x:f>
      </x:c>
      <x:c r="C425" s="32"/>
      <x:c r="D425" s="5"/>
      <x:c r="E425" s="5"/>
      <x:c r="F425" s="5"/>
      <x:c r="G425" s="5"/>
      <x:c r="H425" s="5"/>
      <x:c r="I425" s="5"/>
      <x:c r="J425" s="24" t="str">
        <x:f>IFERROR(VLOOKUP(H425,Dados!$D$2:$F$63,2,0),"ERRO: VERIFICAR COMO DIRETORIA/CANAL")</x:f>
      </x:c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</x:row>
    <x:row r="426" ht="46.5" customHeight="1">
      <x:c r="A426" s="22" t="str">
        <x:f>IFERROR(VLOOKUP(C426,Dados!$A$4:$D$15,3,0),0)</x:f>
      </x:c>
      <x:c r="B426" s="25" t="str">
        <x:f>IFERROR(VLOOKUP(C426,Dados!$A$4:$B$13,2,0),"")</x:f>
      </x:c>
      <x:c r="C426" s="32"/>
      <x:c r="D426" s="5"/>
      <x:c r="E426" s="5"/>
      <x:c r="F426" s="5"/>
      <x:c r="G426" s="5"/>
      <x:c r="H426" s="5"/>
      <x:c r="I426" s="5"/>
      <x:c r="J426" s="24" t="str">
        <x:f>IFERROR(VLOOKUP(H426,Dados!$D$2:$F$63,2,0),"ERRO: VERIFICAR COMO DIRETORIA/CANAL")</x:f>
      </x:c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</x:row>
    <x:row r="427" ht="46.5" customHeight="1">
      <x:c r="A427" s="22" t="str">
        <x:f>IFERROR(VLOOKUP(C427,Dados!$A$4:$D$15,3,0),0)</x:f>
      </x:c>
      <x:c r="B427" s="25" t="str">
        <x:f>IFERROR(VLOOKUP(C427,Dados!$A$4:$B$13,2,0),"")</x:f>
      </x:c>
      <x:c r="C427" s="32"/>
      <x:c r="D427" s="5"/>
      <x:c r="E427" s="5"/>
      <x:c r="F427" s="5"/>
      <x:c r="G427" s="5"/>
      <x:c r="H427" s="5"/>
      <x:c r="I427" s="5"/>
      <x:c r="J427" s="24" t="str">
        <x:f>IFERROR(VLOOKUP(H427,Dados!$D$2:$F$63,2,0),"ERRO: VERIFICAR COMO DIRETORIA/CANAL")</x:f>
      </x:c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</x:row>
    <x:row r="428" ht="46.5" customHeight="1">
      <x:c r="A428" s="22" t="str">
        <x:f>IFERROR(VLOOKUP(C428,Dados!$A$4:$D$15,3,0),0)</x:f>
      </x:c>
      <x:c r="B428" s="25" t="str">
        <x:f>IFERROR(VLOOKUP(C428,Dados!$A$4:$B$13,2,0),"")</x:f>
      </x:c>
      <x:c r="C428" s="32"/>
      <x:c r="D428" s="5"/>
      <x:c r="E428" s="5"/>
      <x:c r="F428" s="5"/>
      <x:c r="G428" s="5"/>
      <x:c r="H428" s="5"/>
      <x:c r="I428" s="5"/>
      <x:c r="J428" s="24" t="str">
        <x:f>IFERROR(VLOOKUP(H428,Dados!$D$2:$F$63,2,0),"ERRO: VERIFICAR COMO DIRETORIA/CANAL")</x:f>
      </x:c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</x:row>
    <x:row r="429" ht="46.5" customHeight="1">
      <x:c r="A429" s="22" t="str">
        <x:f>IFERROR(VLOOKUP(C429,Dados!$A$4:$D$15,3,0),0)</x:f>
      </x:c>
      <x:c r="B429" s="25" t="str">
        <x:f>IFERROR(VLOOKUP(C429,Dados!$A$4:$B$13,2,0),"")</x:f>
      </x:c>
      <x:c r="C429" s="32"/>
      <x:c r="D429" s="5"/>
      <x:c r="E429" s="5"/>
      <x:c r="F429" s="5"/>
      <x:c r="G429" s="5"/>
      <x:c r="H429" s="5"/>
      <x:c r="I429" s="5"/>
      <x:c r="J429" s="24" t="str">
        <x:f>IFERROR(VLOOKUP(H429,Dados!$D$2:$F$63,2,0),"ERRO: VERIFICAR COMO DIRETORIA/CANAL")</x:f>
      </x:c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</x:row>
    <x:row r="430" ht="46.5" customHeight="1">
      <x:c r="A430" s="22" t="str">
        <x:f>IFERROR(VLOOKUP(C430,Dados!$A$4:$D$15,3,0),0)</x:f>
      </x:c>
      <x:c r="B430" s="25" t="str">
        <x:f>IFERROR(VLOOKUP(C430,Dados!$A$4:$B$13,2,0),"")</x:f>
      </x:c>
      <x:c r="C430" s="32"/>
      <x:c r="D430" s="5"/>
      <x:c r="E430" s="5"/>
      <x:c r="F430" s="5"/>
      <x:c r="G430" s="5"/>
      <x:c r="H430" s="5"/>
      <x:c r="I430" s="5"/>
      <x:c r="J430" s="24" t="str">
        <x:f>IFERROR(VLOOKUP(H430,Dados!$D$2:$F$63,2,0),"ERRO: VERIFICAR COMO DIRETORIA/CANAL")</x:f>
      </x:c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</x:row>
    <x:row r="431" ht="46.5" customHeight="1">
      <x:c r="A431" s="22" t="str">
        <x:f>IFERROR(VLOOKUP(C431,Dados!$A$4:$D$15,3,0),0)</x:f>
      </x:c>
      <x:c r="B431" s="25" t="str">
        <x:f>IFERROR(VLOOKUP(C431,Dados!$A$4:$B$13,2,0),"")</x:f>
      </x:c>
      <x:c r="C431" s="32"/>
      <x:c r="D431" s="5"/>
      <x:c r="E431" s="5"/>
      <x:c r="F431" s="5"/>
      <x:c r="G431" s="5"/>
      <x:c r="H431" s="5"/>
      <x:c r="I431" s="5"/>
      <x:c r="J431" s="24" t="str">
        <x:f>IFERROR(VLOOKUP(H431,Dados!$D$2:$F$63,2,0),"ERRO: VERIFICAR COMO DIRETORIA/CANAL")</x:f>
      </x:c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</x:row>
    <x:row r="432" ht="46.5" customHeight="1">
      <x:c r="A432" s="22" t="str">
        <x:f>IFERROR(VLOOKUP(C432,Dados!$A$4:$D$15,3,0),0)</x:f>
      </x:c>
      <x:c r="B432" s="25" t="str">
        <x:f>IFERROR(VLOOKUP(C432,Dados!$A$4:$B$13,2,0),"")</x:f>
      </x:c>
      <x:c r="C432" s="32"/>
      <x:c r="D432" s="5"/>
      <x:c r="E432" s="5"/>
      <x:c r="F432" s="5"/>
      <x:c r="G432" s="5"/>
      <x:c r="H432" s="5"/>
      <x:c r="I432" s="5"/>
      <x:c r="J432" s="24" t="str">
        <x:f>IFERROR(VLOOKUP(H432,Dados!$D$2:$F$63,2,0),"ERRO: VERIFICAR COMO DIRETORIA/CANAL")</x:f>
      </x:c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</x:row>
    <x:row r="433" ht="46.5" customHeight="1">
      <x:c r="A433" s="22" t="str">
        <x:f>IFERROR(VLOOKUP(C433,Dados!$A$4:$D$15,3,0),0)</x:f>
      </x:c>
      <x:c r="B433" s="25" t="str">
        <x:f>IFERROR(VLOOKUP(C433,Dados!$A$4:$B$13,2,0),"")</x:f>
      </x:c>
      <x:c r="C433" s="32"/>
      <x:c r="D433" s="5"/>
      <x:c r="E433" s="5"/>
      <x:c r="F433" s="5"/>
      <x:c r="G433" s="5"/>
      <x:c r="H433" s="5"/>
      <x:c r="I433" s="5"/>
      <x:c r="J433" s="24" t="str">
        <x:f>IFERROR(VLOOKUP(H433,Dados!$D$2:$F$63,2,0),"ERRO: VERIFICAR COMO DIRETORIA/CANAL")</x:f>
      </x:c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</x:row>
    <x:row r="434" ht="46.5" customHeight="1">
      <x:c r="A434" s="22" t="str">
        <x:f>IFERROR(VLOOKUP(C434,Dados!$A$4:$D$15,3,0),0)</x:f>
      </x:c>
      <x:c r="B434" s="25" t="str">
        <x:f>IFERROR(VLOOKUP(C434,Dados!$A$4:$B$13,2,0),"")</x:f>
      </x:c>
      <x:c r="C434" s="32"/>
      <x:c r="D434" s="5"/>
      <x:c r="E434" s="5"/>
      <x:c r="F434" s="5"/>
      <x:c r="G434" s="5"/>
      <x:c r="H434" s="5"/>
      <x:c r="I434" s="5"/>
      <x:c r="J434" s="24" t="str">
        <x:f>IFERROR(VLOOKUP(H434,Dados!$D$2:$F$63,2,0),"ERRO: VERIFICAR COMO DIRETORIA/CANAL")</x:f>
      </x:c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</x:row>
    <x:row r="435" ht="46.5" customHeight="1">
      <x:c r="A435" s="22" t="str">
        <x:f>IFERROR(VLOOKUP(C435,Dados!$A$4:$D$15,3,0),0)</x:f>
      </x:c>
      <x:c r="B435" s="25" t="str">
        <x:f>IFERROR(VLOOKUP(C435,Dados!$A$4:$B$13,2,0),"")</x:f>
      </x:c>
      <x:c r="C435" s="32"/>
      <x:c r="D435" s="5"/>
      <x:c r="E435" s="5"/>
      <x:c r="F435" s="5"/>
      <x:c r="G435" s="5"/>
      <x:c r="H435" s="5"/>
      <x:c r="I435" s="5"/>
      <x:c r="J435" s="24" t="str">
        <x:f>IFERROR(VLOOKUP(H435,Dados!$D$2:$F$63,2,0),"ERRO: VERIFICAR COMO DIRETORIA/CANAL")</x:f>
      </x:c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</x:row>
    <x:row r="436" ht="46.5" customHeight="1">
      <x:c r="A436" s="22" t="str">
        <x:f>IFERROR(VLOOKUP(C436,Dados!$A$4:$D$15,3,0),0)</x:f>
      </x:c>
      <x:c r="B436" s="25" t="str">
        <x:f>IFERROR(VLOOKUP(C436,Dados!$A$4:$B$13,2,0),"")</x:f>
      </x:c>
      <x:c r="C436" s="32"/>
      <x:c r="D436" s="5"/>
      <x:c r="E436" s="5"/>
      <x:c r="F436" s="5"/>
      <x:c r="G436" s="5"/>
      <x:c r="H436" s="5"/>
      <x:c r="I436" s="5"/>
      <x:c r="J436" s="24" t="str">
        <x:f>IFERROR(VLOOKUP(H436,Dados!$D$2:$F$63,2,0),"ERRO: VERIFICAR COMO DIRETORIA/CANAL")</x:f>
      </x:c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</x:row>
    <x:row r="437" ht="46.5" customHeight="1">
      <x:c r="A437" s="22" t="str">
        <x:f>IFERROR(VLOOKUP(C437,Dados!$A$4:$D$15,3,0),0)</x:f>
      </x:c>
      <x:c r="B437" s="25" t="str">
        <x:f>IFERROR(VLOOKUP(C437,Dados!$A$4:$B$13,2,0),"")</x:f>
      </x:c>
      <x:c r="C437" s="32"/>
      <x:c r="D437" s="5"/>
      <x:c r="E437" s="5"/>
      <x:c r="F437" s="5"/>
      <x:c r="G437" s="5"/>
      <x:c r="H437" s="5"/>
      <x:c r="I437" s="5"/>
      <x:c r="J437" s="24" t="str">
        <x:f>IFERROR(VLOOKUP(H437,Dados!$D$2:$F$63,2,0),"ERRO: VERIFICAR COMO DIRETORIA/CANAL")</x:f>
      </x:c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</x:row>
    <x:row r="438" ht="46.5" customHeight="1">
      <x:c r="A438" s="22" t="str">
        <x:f>IFERROR(VLOOKUP(C438,Dados!$A$4:$D$15,3,0),0)</x:f>
      </x:c>
      <x:c r="B438" s="25" t="str">
        <x:f>IFERROR(VLOOKUP(C438,Dados!$A$4:$B$13,2,0),"")</x:f>
      </x:c>
      <x:c r="C438" s="32"/>
      <x:c r="D438" s="5"/>
      <x:c r="E438" s="5"/>
      <x:c r="F438" s="5"/>
      <x:c r="G438" s="5"/>
      <x:c r="H438" s="5"/>
      <x:c r="I438" s="5"/>
      <x:c r="J438" s="24" t="str">
        <x:f>IFERROR(VLOOKUP(H438,Dados!$D$2:$F$63,2,0),"ERRO: VERIFICAR COMO DIRETORIA/CANAL")</x:f>
      </x:c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</x:row>
    <x:row r="439" ht="46.5" customHeight="1">
      <x:c r="A439" s="22" t="str">
        <x:f>IFERROR(VLOOKUP(C439,Dados!$A$4:$D$15,3,0),0)</x:f>
      </x:c>
      <x:c r="B439" s="25" t="str">
        <x:f>IFERROR(VLOOKUP(C439,Dados!$A$4:$B$13,2,0),"")</x:f>
      </x:c>
      <x:c r="C439" s="32"/>
      <x:c r="D439" s="5"/>
      <x:c r="E439" s="5"/>
      <x:c r="F439" s="5"/>
      <x:c r="G439" s="5"/>
      <x:c r="H439" s="5"/>
      <x:c r="I439" s="5"/>
      <x:c r="J439" s="24" t="str">
        <x:f>IFERROR(VLOOKUP(H439,Dados!$D$2:$F$63,2,0),"ERRO: VERIFICAR COMO DIRETORIA/CANAL")</x:f>
      </x:c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</x:row>
    <x:row r="440" ht="46.5" customHeight="1">
      <x:c r="A440" s="22" t="str">
        <x:f>IFERROR(VLOOKUP(C440,Dados!$A$4:$D$15,3,0),0)</x:f>
      </x:c>
      <x:c r="B440" s="25" t="str">
        <x:f>IFERROR(VLOOKUP(C440,Dados!$A$4:$B$13,2,0),"")</x:f>
      </x:c>
      <x:c r="C440" s="32"/>
      <x:c r="D440" s="5"/>
      <x:c r="E440" s="5"/>
      <x:c r="F440" s="5"/>
      <x:c r="G440" s="5"/>
      <x:c r="H440" s="5"/>
      <x:c r="I440" s="5"/>
      <x:c r="J440" s="24" t="str">
        <x:f>IFERROR(VLOOKUP(H440,Dados!$D$2:$F$63,2,0),"ERRO: VERIFICAR COMO DIRETORIA/CANAL")</x:f>
      </x:c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</x:row>
    <x:row r="441" ht="46.5" customHeight="1">
      <x:c r="A441" s="22" t="str">
        <x:f>IFERROR(VLOOKUP(C441,Dados!$A$4:$D$15,3,0),0)</x:f>
      </x:c>
      <x:c r="B441" s="25" t="str">
        <x:f>IFERROR(VLOOKUP(C441,Dados!$A$4:$B$13,2,0),"")</x:f>
      </x:c>
      <x:c r="C441" s="32"/>
      <x:c r="D441" s="5"/>
      <x:c r="E441" s="5"/>
      <x:c r="F441" s="5"/>
      <x:c r="G441" s="5"/>
      <x:c r="H441" s="5"/>
      <x:c r="I441" s="5"/>
      <x:c r="J441" s="24" t="str">
        <x:f>IFERROR(VLOOKUP(H441,Dados!$D$2:$F$63,2,0),"ERRO: VERIFICAR COMO DIRETORIA/CANAL")</x:f>
      </x:c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</x:row>
    <x:row r="442" ht="46.5" customHeight="1">
      <x:c r="A442" s="22" t="str">
        <x:f>IFERROR(VLOOKUP(C442,Dados!$A$4:$D$15,3,0),0)</x:f>
      </x:c>
      <x:c r="B442" s="25" t="str">
        <x:f>IFERROR(VLOOKUP(C442,Dados!$A$4:$B$13,2,0),"")</x:f>
      </x:c>
      <x:c r="C442" s="32"/>
      <x:c r="D442" s="5"/>
      <x:c r="E442" s="5"/>
      <x:c r="F442" s="5"/>
      <x:c r="G442" s="5"/>
      <x:c r="H442" s="5"/>
      <x:c r="I442" s="5"/>
      <x:c r="J442" s="24" t="str">
        <x:f>IFERROR(VLOOKUP(H442,Dados!$D$2:$F$63,2,0),"ERRO: VERIFICAR COMO DIRETORIA/CANAL")</x:f>
      </x:c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</x:row>
    <x:row r="443" ht="46.5" customHeight="1">
      <x:c r="A443" s="22" t="str">
        <x:f>IFERROR(VLOOKUP(C443,Dados!$A$4:$D$15,3,0),0)</x:f>
      </x:c>
      <x:c r="B443" s="25" t="str">
        <x:f>IFERROR(VLOOKUP(C443,Dados!$A$4:$B$13,2,0),"")</x:f>
      </x:c>
      <x:c r="C443" s="32"/>
      <x:c r="D443" s="5"/>
      <x:c r="E443" s="5"/>
      <x:c r="F443" s="5"/>
      <x:c r="G443" s="5"/>
      <x:c r="H443" s="5"/>
      <x:c r="I443" s="5"/>
      <x:c r="J443" s="24" t="str">
        <x:f>IFERROR(VLOOKUP(H443,Dados!$D$2:$F$63,2,0),"ERRO: VERIFICAR COMO DIRETORIA/CANAL")</x:f>
      </x:c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</x:row>
    <x:row r="444" ht="46.5" customHeight="1">
      <x:c r="A444" s="22" t="str">
        <x:f>IFERROR(VLOOKUP(C444,Dados!$A$4:$D$15,3,0),0)</x:f>
      </x:c>
      <x:c r="B444" s="25" t="str">
        <x:f>IFERROR(VLOOKUP(C444,Dados!$A$4:$B$13,2,0),"")</x:f>
      </x:c>
      <x:c r="C444" s="32"/>
      <x:c r="D444" s="5"/>
      <x:c r="E444" s="5"/>
      <x:c r="F444" s="5"/>
      <x:c r="G444" s="5"/>
      <x:c r="H444" s="5"/>
      <x:c r="I444" s="5"/>
      <x:c r="J444" s="24" t="str">
        <x:f>IFERROR(VLOOKUP(H444,Dados!$D$2:$F$63,2,0),"ERRO: VERIFICAR COMO DIRETORIA/CANAL")</x:f>
      </x:c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</x:row>
    <x:row r="445" ht="46.5" customHeight="1">
      <x:c r="A445" s="22" t="str">
        <x:f>IFERROR(VLOOKUP(C445,Dados!$A$4:$D$15,3,0),0)</x:f>
      </x:c>
      <x:c r="B445" s="25" t="str">
        <x:f>IFERROR(VLOOKUP(C445,Dados!$A$4:$B$13,2,0),"")</x:f>
      </x:c>
      <x:c r="C445" s="32"/>
      <x:c r="D445" s="5"/>
      <x:c r="E445" s="5"/>
      <x:c r="F445" s="5"/>
      <x:c r="G445" s="5"/>
      <x:c r="H445" s="5"/>
      <x:c r="I445" s="5"/>
      <x:c r="J445" s="24" t="str">
        <x:f>IFERROR(VLOOKUP(H445,Dados!$D$2:$F$63,2,0),"ERRO: VERIFICAR COMO DIRETORIA/CANAL")</x:f>
      </x:c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</x:row>
    <x:row r="446" ht="46.5" customHeight="1">
      <x:c r="A446" s="22" t="str">
        <x:f>IFERROR(VLOOKUP(C446,Dados!$A$4:$D$15,3,0),0)</x:f>
      </x:c>
      <x:c r="B446" s="25" t="str">
        <x:f>IFERROR(VLOOKUP(C446,Dados!$A$4:$B$13,2,0),"")</x:f>
      </x:c>
      <x:c r="C446" s="32"/>
      <x:c r="D446" s="5"/>
      <x:c r="E446" s="5"/>
      <x:c r="F446" s="5"/>
      <x:c r="G446" s="5"/>
      <x:c r="H446" s="5"/>
      <x:c r="I446" s="5"/>
      <x:c r="J446" s="24" t="str">
        <x:f>IFERROR(VLOOKUP(H446,Dados!$D$2:$F$63,2,0),"ERRO: VERIFICAR COMO DIRETORIA/CANAL")</x:f>
      </x:c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</x:row>
    <x:row r="447" ht="46.5" customHeight="1">
      <x:c r="A447" s="22" t="str">
        <x:f>IFERROR(VLOOKUP(C447,Dados!$A$4:$D$15,3,0),0)</x:f>
      </x:c>
      <x:c r="B447" s="25" t="str">
        <x:f>IFERROR(VLOOKUP(C447,Dados!$A$4:$B$13,2,0),"")</x:f>
      </x:c>
      <x:c r="C447" s="32"/>
      <x:c r="D447" s="5"/>
      <x:c r="E447" s="5"/>
      <x:c r="F447" s="5"/>
      <x:c r="G447" s="5"/>
      <x:c r="H447" s="5"/>
      <x:c r="I447" s="5"/>
      <x:c r="J447" s="24" t="str">
        <x:f>IFERROR(VLOOKUP(H447,Dados!$D$2:$F$63,2,0),"ERRO: VERIFICAR COMO DIRETORIA/CANAL")</x:f>
      </x:c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</x:row>
    <x:row r="448" ht="46.5" customHeight="1">
      <x:c r="A448" s="22" t="str">
        <x:f>IFERROR(VLOOKUP(C448,Dados!$A$4:$D$15,3,0),0)</x:f>
      </x:c>
      <x:c r="B448" s="25" t="str">
        <x:f>IFERROR(VLOOKUP(C448,Dados!$A$4:$B$13,2,0),"")</x:f>
      </x:c>
      <x:c r="C448" s="32"/>
      <x:c r="D448" s="5"/>
      <x:c r="E448" s="5"/>
      <x:c r="F448" s="5"/>
      <x:c r="G448" s="5"/>
      <x:c r="H448" s="5"/>
      <x:c r="I448" s="5"/>
      <x:c r="J448" s="24" t="str">
        <x:f>IFERROR(VLOOKUP(H448,Dados!$D$2:$F$63,2,0),"ERRO: VERIFICAR COMO DIRETORIA/CANAL")</x:f>
      </x:c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</x:row>
    <x:row r="449" ht="46.5" customHeight="1">
      <x:c r="A449" s="22" t="str">
        <x:f>IFERROR(VLOOKUP(C449,Dados!$A$4:$D$15,3,0),0)</x:f>
      </x:c>
      <x:c r="B449" s="25" t="str">
        <x:f>IFERROR(VLOOKUP(C449,Dados!$A$4:$B$13,2,0),"")</x:f>
      </x:c>
      <x:c r="C449" s="32"/>
      <x:c r="D449" s="5"/>
      <x:c r="E449" s="5"/>
      <x:c r="F449" s="5"/>
      <x:c r="G449" s="5"/>
      <x:c r="H449" s="5"/>
      <x:c r="I449" s="5"/>
      <x:c r="J449" s="24" t="str">
        <x:f>IFERROR(VLOOKUP(H449,Dados!$D$2:$F$63,2,0),"ERRO: VERIFICAR COMO DIRETORIA/CANAL")</x:f>
      </x:c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</x:row>
    <x:row r="450" ht="46.5" customHeight="1">
      <x:c r="A450" s="22" t="str">
        <x:f>IFERROR(VLOOKUP(C450,Dados!$A$4:$D$15,3,0),0)</x:f>
      </x:c>
      <x:c r="B450" s="25" t="str">
        <x:f>IFERROR(VLOOKUP(C450,Dados!$A$4:$B$13,2,0),"")</x:f>
      </x:c>
      <x:c r="C450" s="32"/>
      <x:c r="D450" s="5"/>
      <x:c r="E450" s="5"/>
      <x:c r="F450" s="5"/>
      <x:c r="G450" s="5"/>
      <x:c r="H450" s="5"/>
      <x:c r="I450" s="5"/>
      <x:c r="J450" s="24" t="str">
        <x:f>IFERROR(VLOOKUP(H450,Dados!$D$2:$F$63,2,0),"ERRO: VERIFICAR COMO DIRETORIA/CANAL")</x:f>
      </x:c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</x:row>
    <x:row r="451" ht="46.5" customHeight="1">
      <x:c r="A451" s="22" t="str">
        <x:f>IFERROR(VLOOKUP(C451,Dados!$A$4:$D$15,3,0),0)</x:f>
      </x:c>
      <x:c r="B451" s="25" t="str">
        <x:f>IFERROR(VLOOKUP(C451,Dados!$A$4:$B$13,2,0),"")</x:f>
      </x:c>
      <x:c r="C451" s="32"/>
      <x:c r="D451" s="5"/>
      <x:c r="E451" s="5"/>
      <x:c r="F451" s="5"/>
      <x:c r="G451" s="5"/>
      <x:c r="H451" s="5"/>
      <x:c r="I451" s="5"/>
      <x:c r="J451" s="24" t="str">
        <x:f>IFERROR(VLOOKUP(H451,Dados!$D$2:$F$63,2,0),"ERRO: VERIFICAR COMO DIRETORIA/CANAL")</x:f>
      </x:c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</x:row>
    <x:row r="452" ht="46.5" customHeight="1">
      <x:c r="A452" s="22" t="str">
        <x:f>IFERROR(VLOOKUP(C452,Dados!$A$4:$D$15,3,0),0)</x:f>
      </x:c>
      <x:c r="B452" s="25" t="str">
        <x:f>IFERROR(VLOOKUP(C452,Dados!$A$4:$B$13,2,0),"")</x:f>
      </x:c>
      <x:c r="C452" s="32"/>
      <x:c r="D452" s="5"/>
      <x:c r="E452" s="5"/>
      <x:c r="F452" s="5"/>
      <x:c r="G452" s="5"/>
      <x:c r="H452" s="5"/>
      <x:c r="I452" s="5"/>
      <x:c r="J452" s="24" t="str">
        <x:f>IFERROR(VLOOKUP(H452,Dados!$D$2:$F$63,2,0),"ERRO: VERIFICAR COMO DIRETORIA/CANAL")</x:f>
      </x:c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</x:row>
    <x:row r="453" ht="46.5" customHeight="1">
      <x:c r="A453" s="22" t="str">
        <x:f>IFERROR(VLOOKUP(C453,Dados!$A$4:$D$15,3,0),0)</x:f>
      </x:c>
      <x:c r="B453" s="25" t="str">
        <x:f>IFERROR(VLOOKUP(C453,Dados!$A$4:$B$13,2,0),"")</x:f>
      </x:c>
      <x:c r="C453" s="32"/>
      <x:c r="D453" s="5"/>
      <x:c r="E453" s="5"/>
      <x:c r="F453" s="5"/>
      <x:c r="G453" s="5"/>
      <x:c r="H453" s="5"/>
      <x:c r="I453" s="5"/>
      <x:c r="J453" s="24" t="str">
        <x:f>IFERROR(VLOOKUP(H453,Dados!$D$2:$F$63,2,0),"ERRO: VERIFICAR COMO DIRETORIA/CANAL")</x:f>
      </x:c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</x:row>
    <x:row r="454" ht="46.5" customHeight="1">
      <x:c r="A454" s="22" t="str">
        <x:f>IFERROR(VLOOKUP(C454,Dados!$A$4:$D$15,3,0),0)</x:f>
      </x:c>
      <x:c r="B454" s="25" t="str">
        <x:f>IFERROR(VLOOKUP(C454,Dados!$A$4:$B$13,2,0),"")</x:f>
      </x:c>
      <x:c r="C454" s="32"/>
      <x:c r="D454" s="5"/>
      <x:c r="E454" s="5"/>
      <x:c r="F454" s="5"/>
      <x:c r="G454" s="5"/>
      <x:c r="H454" s="5"/>
      <x:c r="I454" s="5"/>
      <x:c r="J454" s="24" t="str">
        <x:f>IFERROR(VLOOKUP(H454,Dados!$D$2:$F$63,2,0),"ERRO: VERIFICAR COMO DIRETORIA/CANAL")</x:f>
      </x:c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</x:row>
    <x:row r="455" ht="46.5" customHeight="1">
      <x:c r="A455" s="22" t="str">
        <x:f>IFERROR(VLOOKUP(C455,Dados!$A$4:$D$15,3,0),0)</x:f>
      </x:c>
      <x:c r="B455" s="25" t="str">
        <x:f>IFERROR(VLOOKUP(C455,Dados!$A$4:$B$13,2,0),"")</x:f>
      </x:c>
      <x:c r="C455" s="32"/>
      <x:c r="D455" s="5"/>
      <x:c r="E455" s="5"/>
      <x:c r="F455" s="5"/>
      <x:c r="G455" s="5"/>
      <x:c r="H455" s="5"/>
      <x:c r="I455" s="5"/>
      <x:c r="J455" s="24" t="str">
        <x:f>IFERROR(VLOOKUP(H455,Dados!$D$2:$F$63,2,0),"ERRO: VERIFICAR COMO DIRETORIA/CANAL")</x:f>
      </x:c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</x:row>
    <x:row r="456" ht="46.5" customHeight="1">
      <x:c r="A456" s="22" t="str">
        <x:f>IFERROR(VLOOKUP(C456,Dados!$A$4:$D$15,3,0),0)</x:f>
      </x:c>
      <x:c r="B456" s="25" t="str">
        <x:f>IFERROR(VLOOKUP(C456,Dados!$A$4:$B$13,2,0),"")</x:f>
      </x:c>
      <x:c r="C456" s="32"/>
      <x:c r="D456" s="5"/>
      <x:c r="E456" s="5"/>
      <x:c r="F456" s="5"/>
      <x:c r="G456" s="5"/>
      <x:c r="H456" s="5"/>
      <x:c r="I456" s="5"/>
      <x:c r="J456" s="24" t="str">
        <x:f>IFERROR(VLOOKUP(H456,Dados!$D$2:$F$63,2,0),"ERRO: VERIFICAR COMO DIRETORIA/CANAL")</x:f>
      </x:c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</x:row>
    <x:row r="457" ht="46.5" customHeight="1">
      <x:c r="A457" s="22" t="str">
        <x:f>IFERROR(VLOOKUP(C457,Dados!$A$4:$D$15,3,0),0)</x:f>
      </x:c>
      <x:c r="B457" s="25" t="str">
        <x:f>IFERROR(VLOOKUP(C457,Dados!$A$4:$B$13,2,0),"")</x:f>
      </x:c>
      <x:c r="C457" s="32"/>
      <x:c r="D457" s="5"/>
      <x:c r="E457" s="5"/>
      <x:c r="F457" s="5"/>
      <x:c r="G457" s="5"/>
      <x:c r="H457" s="5"/>
      <x:c r="I457" s="5"/>
      <x:c r="J457" s="24" t="str">
        <x:f>IFERROR(VLOOKUP(H457,Dados!$D$2:$F$63,2,0),"ERRO: VERIFICAR COMO DIRETORIA/CANAL")</x:f>
      </x:c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</x:row>
    <x:row r="458" ht="46.5" customHeight="1">
      <x:c r="A458" s="22" t="str">
        <x:f>IFERROR(VLOOKUP(C458,Dados!$A$4:$D$15,3,0),0)</x:f>
      </x:c>
      <x:c r="B458" s="25" t="str">
        <x:f>IFERROR(VLOOKUP(C458,Dados!$A$4:$B$13,2,0),"")</x:f>
      </x:c>
      <x:c r="C458" s="32"/>
      <x:c r="D458" s="5"/>
      <x:c r="E458" s="5"/>
      <x:c r="F458" s="5"/>
      <x:c r="G458" s="5"/>
      <x:c r="H458" s="5"/>
      <x:c r="I458" s="5"/>
      <x:c r="J458" s="24" t="str">
        <x:f>IFERROR(VLOOKUP(H458,Dados!$D$2:$F$63,2,0),"ERRO: VERIFICAR COMO DIRETORIA/CANAL")</x:f>
      </x:c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</x:row>
    <x:row r="459" ht="46.5" customHeight="1">
      <x:c r="A459" s="22" t="str">
        <x:f>IFERROR(VLOOKUP(C459,Dados!$A$4:$D$15,3,0),0)</x:f>
      </x:c>
      <x:c r="B459" s="25" t="str">
        <x:f>IFERROR(VLOOKUP(C459,Dados!$A$4:$B$13,2,0),"")</x:f>
      </x:c>
      <x:c r="C459" s="32"/>
      <x:c r="D459" s="5"/>
      <x:c r="E459" s="5"/>
      <x:c r="F459" s="5"/>
      <x:c r="G459" s="5"/>
      <x:c r="H459" s="5"/>
      <x:c r="I459" s="5"/>
      <x:c r="J459" s="24" t="str">
        <x:f>IFERROR(VLOOKUP(H459,Dados!$D$2:$F$63,2,0),"ERRO: VERIFICAR COMO DIRETORIA/CANAL")</x:f>
      </x:c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</x:row>
    <x:row r="460" ht="46.5" customHeight="1">
      <x:c r="A460" s="22" t="str">
        <x:f>IFERROR(VLOOKUP(C460,Dados!$A$4:$D$15,3,0),0)</x:f>
      </x:c>
      <x:c r="B460" s="25" t="str">
        <x:f>IFERROR(VLOOKUP(C460,Dados!$A$4:$B$13,2,0),"")</x:f>
      </x:c>
      <x:c r="C460" s="32"/>
      <x:c r="D460" s="5"/>
      <x:c r="E460" s="5"/>
      <x:c r="F460" s="5"/>
      <x:c r="G460" s="5"/>
      <x:c r="H460" s="5"/>
      <x:c r="I460" s="5"/>
      <x:c r="J460" s="24" t="str">
        <x:f>IFERROR(VLOOKUP(H460,Dados!$D$2:$F$63,2,0),"ERRO: VERIFICAR COMO DIRETORIA/CANAL")</x:f>
      </x:c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</x:row>
    <x:row r="461" ht="46.5" customHeight="1">
      <x:c r="A461" s="22" t="str">
        <x:f>IFERROR(VLOOKUP(C461,Dados!$A$4:$D$15,3,0),0)</x:f>
      </x:c>
      <x:c r="B461" s="25" t="str">
        <x:f>IFERROR(VLOOKUP(C461,Dados!$A$4:$B$13,2,0),"")</x:f>
      </x:c>
      <x:c r="C461" s="32"/>
      <x:c r="D461" s="5"/>
      <x:c r="E461" s="5"/>
      <x:c r="F461" s="5"/>
      <x:c r="G461" s="5"/>
      <x:c r="H461" s="5"/>
      <x:c r="I461" s="5"/>
      <x:c r="J461" s="24" t="str">
        <x:f>IFERROR(VLOOKUP(H461,Dados!$D$2:$F$63,2,0),"ERRO: VERIFICAR COMO DIRETORIA/CANAL")</x:f>
      </x:c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</x:row>
    <x:row r="462" ht="46.5" customHeight="1">
      <x:c r="A462" s="22" t="str">
        <x:f>IFERROR(VLOOKUP(C462,Dados!$A$4:$D$15,3,0),0)</x:f>
      </x:c>
      <x:c r="B462" s="25" t="str">
        <x:f>IFERROR(VLOOKUP(C462,Dados!$A$4:$B$13,2,0),"")</x:f>
      </x:c>
      <x:c r="C462" s="32"/>
      <x:c r="D462" s="5"/>
      <x:c r="E462" s="5"/>
      <x:c r="F462" s="5"/>
      <x:c r="G462" s="5"/>
      <x:c r="H462" s="5"/>
      <x:c r="I462" s="5"/>
      <x:c r="J462" s="24" t="str">
        <x:f>IFERROR(VLOOKUP(H462,Dados!$D$2:$F$63,2,0),"ERRO: VERIFICAR COMO DIRETORIA/CANAL")</x:f>
      </x:c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</x:row>
    <x:row r="463" ht="46.5" customHeight="1">
      <x:c r="A463" s="22" t="str">
        <x:f>IFERROR(VLOOKUP(C463,Dados!$A$4:$D$15,3,0),0)</x:f>
      </x:c>
      <x:c r="B463" s="25" t="str">
        <x:f>IFERROR(VLOOKUP(C463,Dados!$A$4:$B$13,2,0),"")</x:f>
      </x:c>
      <x:c r="C463" s="32"/>
      <x:c r="D463" s="5"/>
      <x:c r="E463" s="5"/>
      <x:c r="F463" s="5"/>
      <x:c r="G463" s="5"/>
      <x:c r="H463" s="5"/>
      <x:c r="I463" s="5"/>
      <x:c r="J463" s="24" t="str">
        <x:f>IFERROR(VLOOKUP(H463,Dados!$D$2:$F$63,2,0),"ERRO: VERIFICAR COMO DIRETORIA/CANAL")</x:f>
      </x:c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</x:row>
    <x:row r="464" ht="46.5" customHeight="1">
      <x:c r="A464" s="22" t="str">
        <x:f>IFERROR(VLOOKUP(C464,Dados!$A$4:$D$15,3,0),0)</x:f>
      </x:c>
      <x:c r="B464" s="25" t="str">
        <x:f>IFERROR(VLOOKUP(C464,Dados!$A$4:$B$13,2,0),"")</x:f>
      </x:c>
      <x:c r="C464" s="32"/>
      <x:c r="D464" s="5"/>
      <x:c r="E464" s="5"/>
      <x:c r="F464" s="5"/>
      <x:c r="G464" s="5"/>
      <x:c r="H464" s="5"/>
      <x:c r="I464" s="5"/>
      <x:c r="J464" s="24" t="str">
        <x:f>IFERROR(VLOOKUP(H464,Dados!$D$2:$F$63,2,0),"ERRO: VERIFICAR COMO DIRETORIA/CANAL")</x:f>
      </x:c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</x:row>
    <x:row r="465" ht="46.5" customHeight="1">
      <x:c r="A465" s="22" t="str">
        <x:f>IFERROR(VLOOKUP(C465,Dados!$A$4:$D$15,3,0),0)</x:f>
      </x:c>
      <x:c r="B465" s="25" t="str">
        <x:f>IFERROR(VLOOKUP(C465,Dados!$A$4:$B$13,2,0),"")</x:f>
      </x:c>
      <x:c r="C465" s="32"/>
      <x:c r="D465" s="5"/>
      <x:c r="E465" s="5"/>
      <x:c r="F465" s="5"/>
      <x:c r="G465" s="5"/>
      <x:c r="H465" s="5"/>
      <x:c r="I465" s="5"/>
      <x:c r="J465" s="24" t="str">
        <x:f>IFERROR(VLOOKUP(H465,Dados!$D$2:$F$63,2,0),"ERRO: VERIFICAR COMO DIRETORIA/CANAL")</x:f>
      </x:c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</x:row>
    <x:row r="466" ht="46.5" customHeight="1">
      <x:c r="A466" s="22" t="str">
        <x:f>IFERROR(VLOOKUP(C466,Dados!$A$4:$D$15,3,0),0)</x:f>
      </x:c>
      <x:c r="B466" s="25" t="str">
        <x:f>IFERROR(VLOOKUP(C466,Dados!$A$4:$B$13,2,0),"")</x:f>
      </x:c>
      <x:c r="C466" s="32"/>
      <x:c r="D466" s="5"/>
      <x:c r="E466" s="5"/>
      <x:c r="F466" s="5"/>
      <x:c r="G466" s="5"/>
      <x:c r="H466" s="5"/>
      <x:c r="I466" s="5"/>
      <x:c r="J466" s="24" t="str">
        <x:f>IFERROR(VLOOKUP(H466,Dados!$D$2:$F$63,2,0),"ERRO: VERIFICAR COMO DIRETORIA/CANAL")</x:f>
      </x:c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</x:row>
    <x:row r="467" ht="46.5" customHeight="1">
      <x:c r="A467" s="22" t="str">
        <x:f>IFERROR(VLOOKUP(C467,Dados!$A$4:$D$15,3,0),0)</x:f>
      </x:c>
      <x:c r="B467" s="25" t="str">
        <x:f>IFERROR(VLOOKUP(C467,Dados!$A$4:$B$13,2,0),"")</x:f>
      </x:c>
      <x:c r="C467" s="32"/>
      <x:c r="D467" s="5"/>
      <x:c r="E467" s="5"/>
      <x:c r="F467" s="5"/>
      <x:c r="G467" s="5"/>
      <x:c r="H467" s="5"/>
      <x:c r="I467" s="5"/>
      <x:c r="J467" s="24" t="str">
        <x:f>IFERROR(VLOOKUP(H467,Dados!$D$2:$F$63,2,0),"ERRO: VERIFICAR COMO DIRETORIA/CANAL")</x:f>
      </x:c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</x:row>
    <x:row r="468" ht="46.5" customHeight="1">
      <x:c r="A468" s="22" t="str">
        <x:f>IFERROR(VLOOKUP(C468,Dados!$A$4:$D$15,3,0),0)</x:f>
      </x:c>
      <x:c r="B468" s="25" t="str">
        <x:f>IFERROR(VLOOKUP(C468,Dados!$A$4:$B$13,2,0),"")</x:f>
      </x:c>
      <x:c r="C468" s="32"/>
      <x:c r="D468" s="5"/>
      <x:c r="E468" s="5"/>
      <x:c r="F468" s="5"/>
      <x:c r="G468" s="5"/>
      <x:c r="H468" s="5"/>
      <x:c r="I468" s="5"/>
      <x:c r="J468" s="24" t="str">
        <x:f>IFERROR(VLOOKUP(H468,Dados!$D$2:$F$63,2,0),"ERRO: VERIFICAR COMO DIRETORIA/CANAL")</x:f>
      </x:c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</x:row>
    <x:row r="469" ht="46.5" customHeight="1">
      <x:c r="A469" s="22" t="str">
        <x:f>IFERROR(VLOOKUP(C469,Dados!$A$4:$D$15,3,0),0)</x:f>
      </x:c>
      <x:c r="B469" s="25" t="str">
        <x:f>IFERROR(VLOOKUP(C469,Dados!$A$4:$B$13,2,0),"")</x:f>
      </x:c>
      <x:c r="C469" s="32"/>
      <x:c r="D469" s="5"/>
      <x:c r="E469" s="5"/>
      <x:c r="F469" s="5"/>
      <x:c r="G469" s="5"/>
      <x:c r="H469" s="5"/>
      <x:c r="I469" s="5"/>
      <x:c r="J469" s="24" t="str">
        <x:f>IFERROR(VLOOKUP(H469,Dados!$D$2:$F$63,2,0),"ERRO: VERIFICAR COMO DIRETORIA/CANAL")</x:f>
      </x:c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</x:row>
    <x:row r="470" ht="46.5" customHeight="1">
      <x:c r="A470" s="22" t="str">
        <x:f>IFERROR(VLOOKUP(C470,Dados!$A$4:$D$15,3,0),0)</x:f>
      </x:c>
      <x:c r="B470" s="25" t="str">
        <x:f>IFERROR(VLOOKUP(C470,Dados!$A$4:$B$13,2,0),"")</x:f>
      </x:c>
      <x:c r="C470" s="32"/>
      <x:c r="D470" s="5"/>
      <x:c r="E470" s="5"/>
      <x:c r="F470" s="5"/>
      <x:c r="G470" s="5"/>
      <x:c r="H470" s="5"/>
      <x:c r="I470" s="5"/>
      <x:c r="J470" s="24" t="str">
        <x:f>IFERROR(VLOOKUP(H470,Dados!$D$2:$F$63,2,0),"ERRO: VERIFICAR COMO DIRETORIA/CANAL")</x:f>
      </x:c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</x:row>
    <x:row r="471" ht="46.5" customHeight="1">
      <x:c r="A471" s="22" t="str">
        <x:f>IFERROR(VLOOKUP(C471,Dados!$A$4:$D$15,3,0),0)</x:f>
      </x:c>
      <x:c r="B471" s="25" t="str">
        <x:f>IFERROR(VLOOKUP(C471,Dados!$A$4:$B$13,2,0),"")</x:f>
      </x:c>
      <x:c r="C471" s="32"/>
      <x:c r="D471" s="5"/>
      <x:c r="E471" s="5"/>
      <x:c r="F471" s="5"/>
      <x:c r="G471" s="5"/>
      <x:c r="H471" s="5"/>
      <x:c r="I471" s="5"/>
      <x:c r="J471" s="24" t="str">
        <x:f>IFERROR(VLOOKUP(H471,Dados!$D$2:$F$63,2,0),"ERRO: VERIFICAR COMO DIRETORIA/CANAL")</x:f>
      </x:c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</x:row>
    <x:row r="472" ht="46.5" customHeight="1">
      <x:c r="A472" s="22" t="str">
        <x:f>IFERROR(VLOOKUP(C472,Dados!$A$4:$D$15,3,0),0)</x:f>
      </x:c>
      <x:c r="B472" s="25" t="str">
        <x:f>IFERROR(VLOOKUP(C472,Dados!$A$4:$B$13,2,0),"")</x:f>
      </x:c>
      <x:c r="C472" s="32"/>
      <x:c r="D472" s="5"/>
      <x:c r="E472" s="5"/>
      <x:c r="F472" s="5"/>
      <x:c r="G472" s="5"/>
      <x:c r="H472" s="5"/>
      <x:c r="I472" s="5"/>
      <x:c r="J472" s="24" t="str">
        <x:f>IFERROR(VLOOKUP(H472,Dados!$D$2:$F$63,2,0),"ERRO: VERIFICAR COMO DIRETORIA/CANAL")</x:f>
      </x:c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</x:row>
    <x:row r="473" ht="46.5" customHeight="1">
      <x:c r="A473" s="22" t="str">
        <x:f>IFERROR(VLOOKUP(C473,Dados!$A$4:$D$15,3,0),0)</x:f>
      </x:c>
      <x:c r="B473" s="25" t="str">
        <x:f>IFERROR(VLOOKUP(C473,Dados!$A$4:$B$13,2,0),"")</x:f>
      </x:c>
      <x:c r="C473" s="32"/>
      <x:c r="D473" s="5"/>
      <x:c r="E473" s="5"/>
      <x:c r="F473" s="5"/>
      <x:c r="G473" s="5"/>
      <x:c r="H473" s="5"/>
      <x:c r="I473" s="5"/>
      <x:c r="J473" s="24" t="str">
        <x:f>IFERROR(VLOOKUP(H473,Dados!$D$2:$F$63,2,0),"ERRO: VERIFICAR COMO DIRETORIA/CANAL")</x:f>
      </x:c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</x:row>
    <x:row r="474" ht="46.5" customHeight="1">
      <x:c r="A474" s="22" t="str">
        <x:f>IFERROR(VLOOKUP(C474,Dados!$A$4:$D$15,3,0),0)</x:f>
      </x:c>
      <x:c r="B474" s="25" t="str">
        <x:f>IFERROR(VLOOKUP(C474,Dados!$A$4:$B$13,2,0),"")</x:f>
      </x:c>
      <x:c r="C474" s="32"/>
      <x:c r="D474" s="5"/>
      <x:c r="E474" s="5"/>
      <x:c r="F474" s="5"/>
      <x:c r="G474" s="5"/>
      <x:c r="H474" s="5"/>
      <x:c r="I474" s="5"/>
      <x:c r="J474" s="24" t="str">
        <x:f>IFERROR(VLOOKUP(H474,Dados!$D$2:$F$63,2,0),"ERRO: VERIFICAR COMO DIRETORIA/CANAL")</x:f>
      </x:c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</x:row>
    <x:row r="475" ht="46.5" customHeight="1">
      <x:c r="A475" s="22" t="str">
        <x:f>IFERROR(VLOOKUP(C475,Dados!$A$4:$D$15,3,0),0)</x:f>
      </x:c>
      <x:c r="B475" s="25" t="str">
        <x:f>IFERROR(VLOOKUP(C475,Dados!$A$4:$B$13,2,0),"")</x:f>
      </x:c>
      <x:c r="C475" s="32"/>
      <x:c r="D475" s="5"/>
      <x:c r="E475" s="5"/>
      <x:c r="F475" s="5"/>
      <x:c r="G475" s="5"/>
      <x:c r="H475" s="5"/>
      <x:c r="I475" s="5"/>
      <x:c r="J475" s="24" t="str">
        <x:f>IFERROR(VLOOKUP(H475,Dados!$D$2:$F$63,2,0),"ERRO: VERIFICAR COMO DIRETORIA/CANAL")</x:f>
      </x:c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</x:row>
    <x:row r="476" ht="46.5" customHeight="1">
      <x:c r="A476" s="22" t="str">
        <x:f>IFERROR(VLOOKUP(C476,Dados!$A$4:$D$15,3,0),0)</x:f>
      </x:c>
      <x:c r="B476" s="25" t="str">
        <x:f>IFERROR(VLOOKUP(C476,Dados!$A$4:$B$13,2,0),"")</x:f>
      </x:c>
      <x:c r="C476" s="32"/>
      <x:c r="D476" s="5"/>
      <x:c r="E476" s="5"/>
      <x:c r="F476" s="5"/>
      <x:c r="G476" s="5"/>
      <x:c r="H476" s="5"/>
      <x:c r="I476" s="5"/>
      <x:c r="J476" s="24" t="str">
        <x:f>IFERROR(VLOOKUP(H476,Dados!$D$2:$F$63,2,0),"ERRO: VERIFICAR COMO DIRETORIA/CANAL")</x:f>
      </x:c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</x:row>
    <x:row r="477" ht="46.5" customHeight="1">
      <x:c r="A477" s="22" t="str">
        <x:f>IFERROR(VLOOKUP(C477,Dados!$A$4:$D$15,3,0),0)</x:f>
      </x:c>
      <x:c r="B477" s="25" t="str">
        <x:f>IFERROR(VLOOKUP(C477,Dados!$A$4:$B$13,2,0),"")</x:f>
      </x:c>
      <x:c r="C477" s="32"/>
      <x:c r="D477" s="5"/>
      <x:c r="E477" s="5"/>
      <x:c r="F477" s="5"/>
      <x:c r="G477" s="5"/>
      <x:c r="H477" s="5"/>
      <x:c r="I477" s="5"/>
      <x:c r="J477" s="24" t="str">
        <x:f>IFERROR(VLOOKUP(H477,Dados!$D$2:$F$63,2,0),"ERRO: VERIFICAR COMO DIRETORIA/CANAL")</x:f>
      </x:c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</x:row>
    <x:row r="478" ht="46.5" customHeight="1">
      <x:c r="A478" s="22" t="str">
        <x:f>IFERROR(VLOOKUP(C478,Dados!$A$4:$D$15,3,0),0)</x:f>
      </x:c>
      <x:c r="B478" s="25" t="str">
        <x:f>IFERROR(VLOOKUP(C478,Dados!$A$4:$B$13,2,0),"")</x:f>
      </x:c>
      <x:c r="C478" s="32"/>
      <x:c r="D478" s="5"/>
      <x:c r="E478" s="5"/>
      <x:c r="F478" s="5"/>
      <x:c r="G478" s="5"/>
      <x:c r="H478" s="5"/>
      <x:c r="I478" s="5"/>
      <x:c r="J478" s="24" t="str">
        <x:f>IFERROR(VLOOKUP(H478,Dados!$D$2:$F$63,2,0),"ERRO: VERIFICAR COMO DIRETORIA/CANAL")</x:f>
      </x:c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</x:row>
    <x:row r="479" ht="46.5" customHeight="1">
      <x:c r="A479" s="22" t="str">
        <x:f>IFERROR(VLOOKUP(C479,Dados!$A$4:$D$15,3,0),0)</x:f>
      </x:c>
      <x:c r="B479" s="25" t="str">
        <x:f>IFERROR(VLOOKUP(C479,Dados!$A$4:$B$13,2,0),"")</x:f>
      </x:c>
      <x:c r="C479" s="32"/>
      <x:c r="D479" s="5"/>
      <x:c r="E479" s="5"/>
      <x:c r="F479" s="5"/>
      <x:c r="G479" s="5"/>
      <x:c r="H479" s="5"/>
      <x:c r="I479" s="5"/>
      <x:c r="J479" s="24" t="str">
        <x:f>IFERROR(VLOOKUP(H479,Dados!$D$2:$F$63,2,0),"ERRO: VERIFICAR COMO DIRETORIA/CANAL")</x:f>
      </x:c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</x:row>
    <x:row r="480" ht="46.5" customHeight="1">
      <x:c r="A480" s="22" t="str">
        <x:f>IFERROR(VLOOKUP(C480,Dados!$A$4:$D$15,3,0),0)</x:f>
      </x:c>
      <x:c r="B480" s="25" t="str">
        <x:f>IFERROR(VLOOKUP(C480,Dados!$A$4:$B$13,2,0),"")</x:f>
      </x:c>
      <x:c r="C480" s="32"/>
      <x:c r="D480" s="5"/>
      <x:c r="E480" s="5"/>
      <x:c r="F480" s="5"/>
      <x:c r="G480" s="5"/>
      <x:c r="H480" s="5"/>
      <x:c r="I480" s="5"/>
      <x:c r="J480" s="24" t="str">
        <x:f>IFERROR(VLOOKUP(H480,Dados!$D$2:$F$63,2,0),"ERRO: VERIFICAR COMO DIRETORIA/CANAL")</x:f>
      </x:c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</x:row>
    <x:row r="481" ht="46.5" customHeight="1">
      <x:c r="A481" s="22" t="str">
        <x:f>IFERROR(VLOOKUP(C481,Dados!$A$4:$D$15,3,0),0)</x:f>
      </x:c>
      <x:c r="B481" s="25" t="str">
        <x:f>IFERROR(VLOOKUP(C481,Dados!$A$4:$B$13,2,0),"")</x:f>
      </x:c>
      <x:c r="C481" s="32"/>
      <x:c r="D481" s="5"/>
      <x:c r="E481" s="5"/>
      <x:c r="F481" s="5"/>
      <x:c r="G481" s="5"/>
      <x:c r="H481" s="5"/>
      <x:c r="I481" s="5"/>
      <x:c r="J481" s="24" t="str">
        <x:f>IFERROR(VLOOKUP(H481,Dados!$D$2:$F$63,2,0),"ERRO: VERIFICAR COMO DIRETORIA/CANAL")</x:f>
      </x:c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</x:row>
    <x:row r="482" ht="46.5" customHeight="1">
      <x:c r="A482" s="22" t="str">
        <x:f>IFERROR(VLOOKUP(C482,Dados!$A$4:$D$15,3,0),0)</x:f>
      </x:c>
      <x:c r="B482" s="25" t="str">
        <x:f>IFERROR(VLOOKUP(C482,Dados!$A$4:$B$13,2,0),"")</x:f>
      </x:c>
      <x:c r="C482" s="32"/>
      <x:c r="D482" s="5"/>
      <x:c r="E482" s="5"/>
      <x:c r="F482" s="5"/>
      <x:c r="G482" s="5"/>
      <x:c r="H482" s="5"/>
      <x:c r="I482" s="5"/>
      <x:c r="J482" s="24" t="str">
        <x:f>IFERROR(VLOOKUP(H482,Dados!$D$2:$F$63,2,0),"ERRO: VERIFICAR COMO DIRETORIA/CANAL")</x:f>
      </x:c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</x:row>
    <x:row r="483" ht="46.5" customHeight="1">
      <x:c r="A483" s="22" t="str">
        <x:f>IFERROR(VLOOKUP(C483,Dados!$A$4:$D$15,3,0),0)</x:f>
      </x:c>
      <x:c r="B483" s="25" t="str">
        <x:f>IFERROR(VLOOKUP(C483,Dados!$A$4:$B$13,2,0),"")</x:f>
      </x:c>
      <x:c r="C483" s="32"/>
      <x:c r="D483" s="5"/>
      <x:c r="E483" s="5"/>
      <x:c r="F483" s="5"/>
      <x:c r="G483" s="5"/>
      <x:c r="H483" s="5"/>
      <x:c r="I483" s="5"/>
      <x:c r="J483" s="24" t="str">
        <x:f>IFERROR(VLOOKUP(H483,Dados!$D$2:$F$63,2,0),"ERRO: VERIFICAR COMO DIRETORIA/CANAL")</x:f>
      </x:c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</x:row>
    <x:row r="484" ht="46.5" customHeight="1">
      <x:c r="A484" s="22" t="str">
        <x:f>IFERROR(VLOOKUP(C484,Dados!$A$4:$D$15,3,0),0)</x:f>
      </x:c>
      <x:c r="B484" s="25" t="str">
        <x:f>IFERROR(VLOOKUP(C484,Dados!$A$4:$B$13,2,0),"")</x:f>
      </x:c>
      <x:c r="C484" s="32"/>
      <x:c r="D484" s="5"/>
      <x:c r="E484" s="5"/>
      <x:c r="F484" s="5"/>
      <x:c r="G484" s="5"/>
      <x:c r="H484" s="5"/>
      <x:c r="I484" s="5"/>
      <x:c r="J484" s="24" t="str">
        <x:f>IFERROR(VLOOKUP(H484,Dados!$D$2:$F$63,2,0),"ERRO: VERIFICAR COMO DIRETORIA/CANAL")</x:f>
      </x:c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</x:row>
    <x:row r="485" ht="46.5" customHeight="1">
      <x:c r="A485" s="22" t="str">
        <x:f>IFERROR(VLOOKUP(C485,Dados!$A$4:$D$15,3,0),0)</x:f>
      </x:c>
      <x:c r="B485" s="25" t="str">
        <x:f>IFERROR(VLOOKUP(C485,Dados!$A$4:$B$13,2,0),"")</x:f>
      </x:c>
      <x:c r="C485" s="32"/>
      <x:c r="D485" s="5"/>
      <x:c r="E485" s="5"/>
      <x:c r="F485" s="5"/>
      <x:c r="G485" s="5"/>
      <x:c r="H485" s="5"/>
      <x:c r="I485" s="5"/>
      <x:c r="J485" s="24" t="str">
        <x:f>IFERROR(VLOOKUP(H485,Dados!$D$2:$F$63,2,0),"ERRO: VERIFICAR COMO DIRETORIA/CANAL")</x:f>
      </x:c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</x:row>
    <x:row r="486" ht="46.5" customHeight="1">
      <x:c r="A486" s="22" t="str">
        <x:f>IFERROR(VLOOKUP(C486,Dados!$A$4:$D$15,3,0),0)</x:f>
      </x:c>
      <x:c r="B486" s="25" t="str">
        <x:f>IFERROR(VLOOKUP(C486,Dados!$A$4:$B$13,2,0),"")</x:f>
      </x:c>
      <x:c r="C486" s="32"/>
      <x:c r="D486" s="5"/>
      <x:c r="E486" s="5"/>
      <x:c r="F486" s="5"/>
      <x:c r="G486" s="5"/>
      <x:c r="H486" s="5"/>
      <x:c r="I486" s="5"/>
      <x:c r="J486" s="24" t="str">
        <x:f>IFERROR(VLOOKUP(H486,Dados!$D$2:$F$63,2,0),"ERRO: VERIFICAR COMO DIRETORIA/CANAL")</x:f>
      </x:c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</x:row>
    <x:row r="487" ht="46.5" customHeight="1">
      <x:c r="A487" s="22" t="str">
        <x:f>IFERROR(VLOOKUP(C487,Dados!$A$4:$D$15,3,0),0)</x:f>
      </x:c>
      <x:c r="B487" s="25" t="str">
        <x:f>IFERROR(VLOOKUP(C487,Dados!$A$4:$B$13,2,0),"")</x:f>
      </x:c>
      <x:c r="C487" s="32"/>
      <x:c r="D487" s="5"/>
      <x:c r="E487" s="5"/>
      <x:c r="F487" s="5"/>
      <x:c r="G487" s="5"/>
      <x:c r="H487" s="5"/>
      <x:c r="I487" s="5"/>
      <x:c r="J487" s="24" t="str">
        <x:f>IFERROR(VLOOKUP(H487,Dados!$D$2:$F$63,2,0),"ERRO: VERIFICAR COMO DIRETORIA/CANAL")</x:f>
      </x:c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</x:row>
    <x:row r="488" ht="46.5" customHeight="1">
      <x:c r="A488" s="22" t="str">
        <x:f>IFERROR(VLOOKUP(C488,Dados!$A$4:$D$15,3,0),0)</x:f>
      </x:c>
      <x:c r="B488" s="25" t="str">
        <x:f>IFERROR(VLOOKUP(C488,Dados!$A$4:$B$13,2,0),"")</x:f>
      </x:c>
      <x:c r="C488" s="32"/>
      <x:c r="D488" s="5"/>
      <x:c r="E488" s="5"/>
      <x:c r="F488" s="5"/>
      <x:c r="G488" s="5"/>
      <x:c r="H488" s="5"/>
      <x:c r="I488" s="5"/>
      <x:c r="J488" s="24" t="str">
        <x:f>IFERROR(VLOOKUP(H488,Dados!$D$2:$F$63,2,0),"ERRO: VERIFICAR COMO DIRETORIA/CANAL")</x:f>
      </x:c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</x:row>
    <x:row r="489" ht="46.5" customHeight="1">
      <x:c r="A489" s="22" t="str">
        <x:f>IFERROR(VLOOKUP(C489,Dados!$A$4:$D$15,3,0),0)</x:f>
      </x:c>
      <x:c r="B489" s="25" t="str">
        <x:f>IFERROR(VLOOKUP(C489,Dados!$A$4:$B$13,2,0),"")</x:f>
      </x:c>
      <x:c r="C489" s="32"/>
      <x:c r="D489" s="5"/>
      <x:c r="E489" s="5"/>
      <x:c r="F489" s="5"/>
      <x:c r="G489" s="5"/>
      <x:c r="H489" s="5"/>
      <x:c r="I489" s="5"/>
      <x:c r="J489" s="24" t="str">
        <x:f>IFERROR(VLOOKUP(H489,Dados!$D$2:$F$63,2,0),"ERRO: VERIFICAR COMO DIRETORIA/CANAL")</x:f>
      </x:c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</x:row>
    <x:row r="490" ht="46.5" customHeight="1">
      <x:c r="A490" s="22" t="str">
        <x:f>IFERROR(VLOOKUP(C490,Dados!$A$4:$D$15,3,0),0)</x:f>
      </x:c>
      <x:c r="B490" s="25" t="str">
        <x:f>IFERROR(VLOOKUP(C490,Dados!$A$4:$B$13,2,0),"")</x:f>
      </x:c>
      <x:c r="C490" s="32"/>
      <x:c r="D490" s="5"/>
      <x:c r="E490" s="5"/>
      <x:c r="F490" s="5"/>
      <x:c r="G490" s="5"/>
      <x:c r="H490" s="5"/>
      <x:c r="I490" s="5"/>
      <x:c r="J490" s="24" t="str">
        <x:f>IFERROR(VLOOKUP(H490,Dados!$D$2:$F$63,2,0),"ERRO: VERIFICAR COMO DIRETORIA/CANAL")</x:f>
      </x:c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</x:row>
    <x:row r="491" ht="46.5" customHeight="1">
      <x:c r="A491" s="22" t="str">
        <x:f>IFERROR(VLOOKUP(C491,Dados!$A$4:$D$15,3,0),0)</x:f>
      </x:c>
      <x:c r="B491" s="25" t="str">
        <x:f>IFERROR(VLOOKUP(C491,Dados!$A$4:$B$13,2,0),"")</x:f>
      </x:c>
      <x:c r="C491" s="32"/>
      <x:c r="D491" s="5"/>
      <x:c r="E491" s="5"/>
      <x:c r="F491" s="5"/>
      <x:c r="G491" s="5"/>
      <x:c r="H491" s="5"/>
      <x:c r="I491" s="5"/>
      <x:c r="J491" s="24" t="str">
        <x:f>IFERROR(VLOOKUP(H491,Dados!$D$2:$F$63,2,0),"ERRO: VERIFICAR COMO DIRETORIA/CANAL")</x:f>
      </x:c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</x:row>
    <x:row r="492" ht="46.5" customHeight="1">
      <x:c r="A492" s="22" t="str">
        <x:f>IFERROR(VLOOKUP(C492,Dados!$A$4:$D$15,3,0),0)</x:f>
      </x:c>
      <x:c r="B492" s="25" t="str">
        <x:f>IFERROR(VLOOKUP(C492,Dados!$A$4:$B$13,2,0),"")</x:f>
      </x:c>
      <x:c r="C492" s="32"/>
      <x:c r="D492" s="5"/>
      <x:c r="E492" s="5"/>
      <x:c r="F492" s="5"/>
      <x:c r="G492" s="5"/>
      <x:c r="H492" s="5"/>
      <x:c r="I492" s="5"/>
      <x:c r="J492" s="24" t="str">
        <x:f>IFERROR(VLOOKUP(H492,Dados!$D$2:$F$63,2,0),"ERRO: VERIFICAR COMO DIRETORIA/CANAL")</x:f>
      </x:c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</x:row>
    <x:row r="493" ht="46.5" customHeight="1">
      <x:c r="A493" s="22" t="str">
        <x:f>IFERROR(VLOOKUP(C493,Dados!$A$4:$D$15,3,0),0)</x:f>
      </x:c>
      <x:c r="B493" s="25" t="str">
        <x:f>IFERROR(VLOOKUP(C493,Dados!$A$4:$B$13,2,0),"")</x:f>
      </x:c>
      <x:c r="C493" s="32"/>
      <x:c r="D493" s="5"/>
      <x:c r="E493" s="5"/>
      <x:c r="F493" s="5"/>
      <x:c r="G493" s="5"/>
      <x:c r="H493" s="5"/>
      <x:c r="I493" s="5"/>
      <x:c r="J493" s="24" t="str">
        <x:f>IFERROR(VLOOKUP(H493,Dados!$D$2:$F$63,2,0),"ERRO: VERIFICAR COMO DIRETORIA/CANAL")</x:f>
      </x:c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</x:row>
    <x:row r="494" ht="46.5" customHeight="1">
      <x:c r="A494" s="22" t="str">
        <x:f>IFERROR(VLOOKUP(C494,Dados!$A$4:$D$15,3,0),0)</x:f>
      </x:c>
      <x:c r="B494" s="25" t="str">
        <x:f>IFERROR(VLOOKUP(C494,Dados!$A$4:$B$13,2,0),"")</x:f>
      </x:c>
      <x:c r="C494" s="32"/>
      <x:c r="D494" s="5"/>
      <x:c r="E494" s="5"/>
      <x:c r="F494" s="5"/>
      <x:c r="G494" s="5"/>
      <x:c r="H494" s="5"/>
      <x:c r="I494" s="5"/>
      <x:c r="J494" s="24" t="str">
        <x:f>IFERROR(VLOOKUP(H494,Dados!$D$2:$F$63,2,0),"ERRO: VERIFICAR COMO DIRETORIA/CANAL")</x:f>
      </x:c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</x:row>
    <x:row r="495" ht="46.5" customHeight="1">
      <x:c r="A495" s="22" t="str">
        <x:f>IFERROR(VLOOKUP(C495,Dados!$A$4:$D$15,3,0),0)</x:f>
      </x:c>
      <x:c r="B495" s="25" t="str">
        <x:f>IFERROR(VLOOKUP(C495,Dados!$A$4:$B$13,2,0),"")</x:f>
      </x:c>
      <x:c r="C495" s="32"/>
      <x:c r="D495" s="5"/>
      <x:c r="E495" s="5"/>
      <x:c r="F495" s="5"/>
      <x:c r="G495" s="5"/>
      <x:c r="H495" s="5"/>
      <x:c r="I495" s="5"/>
      <x:c r="J495" s="24" t="str">
        <x:f>IFERROR(VLOOKUP(H495,Dados!$D$2:$F$63,2,0),"ERRO: VERIFICAR COMO DIRETORIA/CANAL")</x:f>
      </x:c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</x:row>
    <x:row r="496" ht="46.5" customHeight="1">
      <x:c r="A496" s="22" t="str">
        <x:f>IFERROR(VLOOKUP(C496,Dados!$A$4:$D$15,3,0),0)</x:f>
      </x:c>
      <x:c r="B496" s="25" t="str">
        <x:f>IFERROR(VLOOKUP(C496,Dados!$A$4:$B$13,2,0),"")</x:f>
      </x:c>
      <x:c r="C496" s="32"/>
      <x:c r="D496" s="5"/>
      <x:c r="E496" s="5"/>
      <x:c r="F496" s="5"/>
      <x:c r="G496" s="5"/>
      <x:c r="H496" s="5"/>
      <x:c r="I496" s="5"/>
      <x:c r="J496" s="24" t="str">
        <x:f>IFERROR(VLOOKUP(H496,Dados!$D$2:$F$63,2,0),"ERRO: VERIFICAR COMO DIRETORIA/CANAL")</x:f>
      </x:c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</x:row>
    <x:row r="497" ht="46.5" customHeight="1">
      <x:c r="A497" s="22" t="str">
        <x:f>IFERROR(VLOOKUP(C497,Dados!$A$4:$D$15,3,0),0)</x:f>
      </x:c>
      <x:c r="B497" s="25" t="str">
        <x:f>IFERROR(VLOOKUP(C497,Dados!$A$4:$B$13,2,0),"")</x:f>
      </x:c>
      <x:c r="C497" s="32"/>
      <x:c r="D497" s="5"/>
      <x:c r="E497" s="5"/>
      <x:c r="F497" s="5"/>
      <x:c r="G497" s="5"/>
      <x:c r="H497" s="5"/>
      <x:c r="I497" s="5"/>
      <x:c r="J497" s="24" t="str">
        <x:f>IFERROR(VLOOKUP(H497,Dados!$D$2:$F$63,2,0),"ERRO: VERIFICAR COMO DIRETORIA/CANAL")</x:f>
      </x:c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</x:row>
    <x:row r="498" ht="46.5" customHeight="1">
      <x:c r="A498" s="22" t="str">
        <x:f>IFERROR(VLOOKUP(C498,Dados!$A$4:$D$15,3,0),0)</x:f>
      </x:c>
      <x:c r="B498" s="25" t="str">
        <x:f>IFERROR(VLOOKUP(C498,Dados!$A$4:$B$13,2,0),"")</x:f>
      </x:c>
      <x:c r="C498" s="32"/>
      <x:c r="D498" s="5"/>
      <x:c r="E498" s="5"/>
      <x:c r="F498" s="5"/>
      <x:c r="G498" s="5"/>
      <x:c r="H498" s="5"/>
      <x:c r="I498" s="5"/>
      <x:c r="J498" s="24" t="str">
        <x:f>IFERROR(VLOOKUP(H498,Dados!$D$2:$F$63,2,0),"ERRO: VERIFICAR COMO DIRETORIA/CANAL")</x:f>
      </x:c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</x:row>
    <x:row r="499" ht="46.5" customHeight="1">
      <x:c r="A499" s="22" t="str">
        <x:f>IFERROR(VLOOKUP(C499,Dados!$A$4:$D$15,3,0),0)</x:f>
      </x:c>
      <x:c r="B499" s="25" t="str">
        <x:f>IFERROR(VLOOKUP(C499,Dados!$A$4:$B$13,2,0),"")</x:f>
      </x:c>
      <x:c r="C499" s="32"/>
      <x:c r="D499" s="5"/>
      <x:c r="E499" s="5"/>
      <x:c r="F499" s="5"/>
      <x:c r="G499" s="5"/>
      <x:c r="H499" s="5"/>
      <x:c r="I499" s="5"/>
      <x:c r="J499" s="24" t="str">
        <x:f>IFERROR(VLOOKUP(H499,Dados!$D$2:$F$63,2,0),"ERRO: VERIFICAR COMO DIRETORIA/CANAL")</x:f>
      </x:c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</x:row>
    <x:row r="500" ht="46.5" customHeight="1">
      <x:c r="A500" s="22" t="str">
        <x:f>IFERROR(VLOOKUP(C500,Dados!$A$4:$D$15,3,0),0)</x:f>
      </x:c>
      <x:c r="B500" s="25" t="str">
        <x:f>IFERROR(VLOOKUP(C500,Dados!$A$4:$B$13,2,0),"")</x:f>
      </x:c>
      <x:c r="C500" s="32"/>
      <x:c r="D500" s="5"/>
      <x:c r="E500" s="5"/>
      <x:c r="F500" s="5"/>
      <x:c r="G500" s="5"/>
      <x:c r="H500" s="5"/>
      <x:c r="I500" s="5"/>
      <x:c r="J500" s="24" t="str">
        <x:f>IFERROR(VLOOKUP(H500,Dados!$D$2:$F$63,2,0),"ERRO: VERIFICAR COMO DIRETORIA/CANAL")</x:f>
      </x:c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</x:row>
    <x:row r="501" ht="46.5" customHeight="1">
      <x:c r="A501" s="22" t="str">
        <x:f>IFERROR(VLOOKUP(C501,Dados!$A$4:$D$15,3,0),0)</x:f>
      </x:c>
      <x:c r="B501" s="25" t="str">
        <x:f>IFERROR(VLOOKUP(C501,Dados!$A$4:$B$13,2,0),"")</x:f>
      </x:c>
      <x:c r="C501" s="32"/>
      <x:c r="D501" s="5"/>
      <x:c r="E501" s="5"/>
      <x:c r="F501" s="5"/>
      <x:c r="G501" s="5"/>
      <x:c r="H501" s="5"/>
      <x:c r="I501" s="5"/>
      <x:c r="J501" s="24" t="str">
        <x:f>IFERROR(VLOOKUP(H501,Dados!$D$2:$F$63,2,0),"ERRO: VERIFICAR COMO DIRETORIA/CANAL")</x:f>
      </x:c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</x:row>
    <x:row r="502" ht="46.5" customHeight="1">
      <x:c r="A502" s="22" t="str">
        <x:f>IFERROR(VLOOKUP(C502,Dados!$A$4:$D$15,3,0),0)</x:f>
      </x:c>
      <x:c r="B502" s="25" t="str">
        <x:f>IFERROR(VLOOKUP(C502,Dados!$A$4:$B$13,2,0),"")</x:f>
      </x:c>
      <x:c r="C502" s="32"/>
      <x:c r="D502" s="5"/>
      <x:c r="E502" s="5"/>
      <x:c r="F502" s="5"/>
      <x:c r="G502" s="5"/>
      <x:c r="H502" s="5"/>
      <x:c r="I502" s="5"/>
      <x:c r="J502" s="24" t="str">
        <x:f>IFERROR(VLOOKUP(H502,Dados!$D$2:$F$63,2,0),"ERRO: VERIFICAR COMO DIRETORIA/CANAL")</x:f>
      </x:c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</x:row>
    <x:row r="503" ht="46.5" customHeight="1">
      <x:c r="A503" s="22" t="str">
        <x:f>IFERROR(VLOOKUP(C503,Dados!$A$4:$D$15,3,0),0)</x:f>
      </x:c>
      <x:c r="B503" s="25" t="str">
        <x:f>IFERROR(VLOOKUP(C503,Dados!$A$4:$B$13,2,0),"")</x:f>
      </x:c>
      <x:c r="C503" s="32"/>
      <x:c r="D503" s="5"/>
      <x:c r="E503" s="5"/>
      <x:c r="F503" s="5"/>
      <x:c r="G503" s="5"/>
      <x:c r="H503" s="5"/>
      <x:c r="I503" s="5"/>
      <x:c r="J503" s="24" t="str">
        <x:f>IFERROR(VLOOKUP(H503,Dados!$D$2:$F$63,2,0),"ERRO: VERIFICAR COMO DIRETORIA/CANAL")</x:f>
      </x:c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</x:row>
    <x:row r="504" ht="46.5" customHeight="1">
      <x:c r="A504" s="22" t="str">
        <x:f>IFERROR(VLOOKUP(C504,Dados!$A$4:$D$15,3,0),0)</x:f>
      </x:c>
      <x:c r="B504" s="25" t="str">
        <x:f>IFERROR(VLOOKUP(C504,Dados!$A$4:$B$13,2,0),"")</x:f>
      </x:c>
      <x:c r="C504" s="32"/>
      <x:c r="D504" s="5"/>
      <x:c r="E504" s="5"/>
      <x:c r="F504" s="5"/>
      <x:c r="G504" s="5"/>
      <x:c r="H504" s="5"/>
      <x:c r="I504" s="5"/>
      <x:c r="J504" s="24" t="str">
        <x:f>IFERROR(VLOOKUP(H504,Dados!$D$2:$F$63,2,0),"ERRO: VERIFICAR COMO DIRETORIA/CANAL")</x:f>
      </x:c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</x:row>
    <x:row r="505" ht="46.5" customHeight="1">
      <x:c r="A505" s="22" t="str">
        <x:f>IFERROR(VLOOKUP(C505,Dados!$A$4:$D$15,3,0),0)</x:f>
      </x:c>
      <x:c r="B505" s="25" t="str">
        <x:f>IFERROR(VLOOKUP(C505,Dados!$A$4:$B$13,2,0),"")</x:f>
      </x:c>
      <x:c r="C505" s="32"/>
      <x:c r="D505" s="5"/>
      <x:c r="E505" s="5"/>
      <x:c r="F505" s="5"/>
      <x:c r="G505" s="5"/>
      <x:c r="H505" s="5"/>
      <x:c r="I505" s="5"/>
      <x:c r="J505" s="24" t="str">
        <x:f>IFERROR(VLOOKUP(H505,Dados!$D$2:$F$63,2,0),"ERRO: VERIFICAR COMO DIRETORIA/CANAL")</x:f>
      </x:c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</x:row>
    <x:row r="506" ht="46.5" customHeight="1">
      <x:c r="A506" s="22" t="str">
        <x:f>IFERROR(VLOOKUP(C506,Dados!$A$4:$D$15,3,0),0)</x:f>
      </x:c>
      <x:c r="B506" s="25" t="str">
        <x:f>IFERROR(VLOOKUP(C506,Dados!$A$4:$B$13,2,0),"")</x:f>
      </x:c>
      <x:c r="C506" s="32"/>
      <x:c r="D506" s="5"/>
      <x:c r="E506" s="5"/>
      <x:c r="F506" s="5"/>
      <x:c r="G506" s="5"/>
      <x:c r="H506" s="5"/>
      <x:c r="I506" s="5"/>
      <x:c r="J506" s="24" t="str">
        <x:f>IFERROR(VLOOKUP(H506,Dados!$D$2:$F$63,2,0),"ERRO: VERIFICAR COMO DIRETORIA/CANAL")</x:f>
      </x:c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</x:row>
    <x:row r="507" ht="46.5" customHeight="1">
      <x:c r="A507" s="22" t="str">
        <x:f>IFERROR(VLOOKUP(C507,Dados!$A$4:$D$15,3,0),0)</x:f>
      </x:c>
      <x:c r="B507" s="25" t="str">
        <x:f>IFERROR(VLOOKUP(C507,Dados!$A$4:$B$13,2,0),"")</x:f>
      </x:c>
      <x:c r="C507" s="32"/>
      <x:c r="D507" s="5"/>
      <x:c r="E507" s="5"/>
      <x:c r="F507" s="5"/>
      <x:c r="G507" s="5"/>
      <x:c r="H507" s="5"/>
      <x:c r="I507" s="5"/>
      <x:c r="J507" s="24" t="str">
        <x:f>IFERROR(VLOOKUP(H507,Dados!$D$2:$F$63,2,0),"ERRO: VERIFICAR COMO DIRETORIA/CANAL")</x:f>
      </x:c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</x:row>
    <x:row r="508" ht="46.5" customHeight="1">
      <x:c r="A508" s="22" t="str">
        <x:f>IFERROR(VLOOKUP(C508,Dados!$A$4:$D$15,3,0),0)</x:f>
      </x:c>
      <x:c r="B508" s="25" t="str">
        <x:f>IFERROR(VLOOKUP(C508,Dados!$A$4:$B$13,2,0),"")</x:f>
      </x:c>
      <x:c r="C508" s="32"/>
      <x:c r="D508" s="5"/>
      <x:c r="E508" s="5"/>
      <x:c r="F508" s="5"/>
      <x:c r="G508" s="5"/>
      <x:c r="H508" s="5"/>
      <x:c r="I508" s="5"/>
      <x:c r="J508" s="24" t="str">
        <x:f>IFERROR(VLOOKUP(H508,Dados!$D$2:$F$63,2,0),"ERRO: VERIFICAR COMO DIRETORIA/CANAL")</x:f>
      </x:c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</x:row>
    <x:row r="509" ht="46.5" customHeight="1">
      <x:c r="A509" s="22" t="str">
        <x:f>IFERROR(VLOOKUP(C509,Dados!$A$4:$D$15,3,0),0)</x:f>
      </x:c>
      <x:c r="B509" s="25" t="str">
        <x:f>IFERROR(VLOOKUP(C509,Dados!$A$4:$B$13,2,0),"")</x:f>
      </x:c>
      <x:c r="C509" s="32"/>
      <x:c r="D509" s="5"/>
      <x:c r="E509" s="5"/>
      <x:c r="F509" s="5"/>
      <x:c r="G509" s="5"/>
      <x:c r="H509" s="5"/>
      <x:c r="I509" s="5"/>
      <x:c r="J509" s="24" t="str">
        <x:f>IFERROR(VLOOKUP(H509,Dados!$D$2:$F$63,2,0),"ERRO: VERIFICAR COMO DIRETORIA/CANAL")</x:f>
      </x:c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</x:row>
    <x:row r="510" ht="46.5" customHeight="1">
      <x:c r="A510" s="22" t="str">
        <x:f>IFERROR(VLOOKUP(C510,Dados!$A$4:$D$15,3,0),0)</x:f>
      </x:c>
      <x:c r="B510" s="25" t="str">
        <x:f>IFERROR(VLOOKUP(C510,Dados!$A$4:$B$13,2,0),"")</x:f>
      </x:c>
      <x:c r="C510" s="32"/>
      <x:c r="D510" s="5"/>
      <x:c r="E510" s="5"/>
      <x:c r="F510" s="5"/>
      <x:c r="G510" s="5"/>
      <x:c r="H510" s="5"/>
      <x:c r="I510" s="5"/>
      <x:c r="J510" s="24" t="str">
        <x:f>IFERROR(VLOOKUP(H510,Dados!$D$2:$F$63,2,0),"ERRO: VERIFICAR COMO DIRETORIA/CANAL")</x:f>
      </x:c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</x:row>
    <x:row r="511" ht="46.5" customHeight="1">
      <x:c r="A511" s="22" t="str">
        <x:f>IFERROR(VLOOKUP(C511,Dados!$A$4:$D$15,3,0),0)</x:f>
      </x:c>
      <x:c r="B511" s="25" t="str">
        <x:f>IFERROR(VLOOKUP(C511,Dados!$A$4:$B$13,2,0),"")</x:f>
      </x:c>
      <x:c r="C511" s="32"/>
      <x:c r="D511" s="5"/>
      <x:c r="E511" s="5"/>
      <x:c r="F511" s="5"/>
      <x:c r="G511" s="5"/>
      <x:c r="H511" s="5"/>
      <x:c r="I511" s="5"/>
      <x:c r="J511" s="24" t="str">
        <x:f>IFERROR(VLOOKUP(H511,Dados!$D$2:$F$63,2,0),"ERRO: VERIFICAR COMO DIRETORIA/CANAL")</x:f>
      </x:c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</x:row>
  </x:sheetData>
  <x:mergeCells>
    <x:mergeCell ref="P3:P4"/>
    <x:mergeCell ref="R3:R4"/>
    <x:mergeCell ref="S3:S4"/>
    <x:mergeCell ref="U3:U4"/>
    <x:mergeCell ref="B1:U1"/>
    <x:mergeCell ref="C2:U2"/>
    <x:mergeCell ref="B3:B4"/>
    <x:mergeCell ref="C3:C4"/>
    <x:mergeCell ref="D3:D4"/>
    <x:mergeCell ref="E3:E4"/>
    <x:mergeCell ref="F3:F4"/>
    <x:mergeCell ref="G3:G4"/>
    <x:mergeCell ref="H3:M3"/>
    <x:mergeCell ref="N3:N4"/>
    <x:mergeCell ref="O3:O4"/>
    <x:mergeCell ref="T3:T4"/>
    <x:mergeCell ref="Q3:Q4"/>
  </x:mergeCells>
  <x:conditionalFormatting sqref="B8:B511">
    <x:cfRule type="cellIs" dxfId="3" priority="2" operator="equal">
      <x:formula>"NÃO PREENCHER OS CAMPOS EM CINZA"</x:formula>
    </x:cfRule>
  </x:conditionalFormatting>
  <x:conditionalFormatting sqref="D8:G511 S8:S511">
    <x:cfRule type="expression" dxfId="2" priority="4">
      <x:formula>$A8=1</x:formula>
    </x:cfRule>
  </x:conditionalFormatting>
  <x:conditionalFormatting sqref="H8:I511 N8:O511 S8:S511">
    <x:cfRule type="expression" dxfId="1" priority="3">
      <x:formula>$A8=2</x:formula>
    </x:cfRule>
  </x:conditionalFormatting>
  <x:conditionalFormatting sqref="N8:Q511 S8:S511">
    <x:cfRule type="expression" dxfId="0" priority="1">
      <x:formula>$A8=3</x:formula>
    </x:cfRule>
  </x:conditionalFormatting>
  <x:dataValidations count="1">
    <x:dataValidation type="list" allowBlank="1" showInputMessage="1" showErrorMessage="1" sqref="T8:T511">
      <x:formula1>"SIM - NetSMS, SIM - NetSales/NetSMS, NÃO"</x:formula1>
    </x:dataValidation>
  </x:dataValidations>
  <x:pageMargins left="0.7" right="0.7" top="0.75" bottom="0.75" header="0.3" footer="0.3"/>
  <x:drawing xmlns:r="http://schemas.openxmlformats.org/officeDocument/2006/relationships" r:id="R4b5d911800354db5"/>
</x:worksheet>
</file>

<file path=xl/worksheets/sheet3.xml><?xml version="1.0" encoding="utf-8"?>
<x:worksheet xmlns:x="http://schemas.openxmlformats.org/spreadsheetml/2006/main">
  <x:sheetFormatPr defaultRowHeight="14.5"/>
  <x:cols>
    <x:col min="1" max="2" width="58.81640625" customWidth="1"/>
    <x:col min="3" max="3" width="1.81640625" customWidth="1"/>
    <x:col min="4" max="4" width="43" customWidth="1"/>
    <x:col min="5" max="5" width="30.1796875" customWidth="1"/>
    <x:col min="6" max="6" width="15.1796875" customWidth="1"/>
    <x:col min="7" max="7" width="15.81640625" customWidth="1"/>
    <x:col min="8" max="8" width="27.81640625" customWidth="1"/>
    <x:col min="9" max="9" width="16.1796875" customWidth="1"/>
  </x:cols>
  <x:sheetData>
    <x:row r="1">
      <x:c r="A1" t="str"/>
      <x:c r="D1" t="s">
        <x:v>92</x:v>
      </x:c>
    </x:row>
    <x:row r="2" ht="14.5" customHeight="1">
      <x:c r="A2" s="55" t="s">
        <x:v>2</x:v>
      </x:c>
      <x:c r="B2" s="55"/>
      <x:c r="C2" s="55"/>
      <x:c r="D2" s="1" t="s">
        <x:v>45</x:v>
      </x:c>
      <x:c r="E2" s="2" t="s">
        <x:v>93</x:v>
      </x:c>
      <x:c r="F2" s="2" t="s">
        <x:v>92</x:v>
      </x:c>
      <x:c r="G2" s="1" t="s">
        <x:v>49</x:v>
      </x:c>
      <x:c r="H2" s="1" t="s">
        <x:v>94</x:v>
      </x:c>
      <x:c r="I2" s="1" t="s">
        <x:v>95</x:v>
      </x:c>
      <x:c r="J2" s="1" t="s">
        <x:v>40</x:v>
      </x:c>
    </x:row>
    <x:row r="3" ht="6" customHeight="1"/>
    <x:row r="4">
      <x:c r="A4" s="8" t="s">
        <x:v>96</x:v>
      </x:c>
      <x:c r="B4" s="8" t="s">
        <x:v>97</x:v>
      </x:c>
      <x:c r="C4">
        <x:v>2</x:v>
      </x:c>
      <x:c r="D4" s="4" t="str">
        <x:f t="shared" ref="D4:D9" si="0">CONCATENATE(F4," / ",E4)</x:f>
        <x:v>COMERCIAL / AGENTE AUTORIZ - REGIONAL CTF</x:v>
      </x:c>
      <x:c r="E4" t="s">
        <x:v>98</x:v>
      </x:c>
      <x:c r="F4" t="s">
        <x:v>99</x:v>
      </x:c>
      <x:c r="G4" t="s">
        <x:v>100</x:v>
      </x:c>
      <x:c r="H4" s="7" t="s">
        <x:v>101</x:v>
      </x:c>
      <x:c r="I4" s="4" t="s">
        <x:v>88</x:v>
      </x:c>
      <x:c r="J4" t="s">
        <x:v>102</x:v>
      </x:c>
    </x:row>
    <x:row r="5">
      <x:c r="A5" s="8" t="s">
        <x:v>8</x:v>
      </x:c>
      <x:c r="B5" s="8" t="s">
        <x:v>97</x:v>
      </x:c>
      <x:c r="C5">
        <x:v>2</x:v>
      </x:c>
      <x:c r="D5" s="4" t="str">
        <x:f t="shared" si="0"/>
        <x:v>COMERCIAL / AGENTE AUTORIZADO</x:v>
      </x:c>
      <x:c r="E5" t="s">
        <x:v>103</x:v>
      </x:c>
      <x:c r="F5" t="s">
        <x:v>99</x:v>
      </x:c>
      <x:c r="G5" t="s">
        <x:v>85</x:v>
      </x:c>
      <x:c r="H5" s="3" t="s">
        <x:v>104</x:v>
      </x:c>
      <x:c r="I5" s="4"/>
      <x:c r="J5" t="s">
        <x:v>105</x:v>
      </x:c>
    </x:row>
    <x:row r="6">
      <x:c r="A6" s="8" t="s">
        <x:v>10</x:v>
      </x:c>
      <x:c r="B6" s="8" t="s">
        <x:v>97</x:v>
      </x:c>
      <x:c r="C6">
        <x:v>0</x:v>
      </x:c>
      <x:c r="D6" s="4" t="str">
        <x:f t="shared" si="0"/>
        <x:v>COMERCIAL / AGENTE AUTORIZADO - ACE</x:v>
      </x:c>
      <x:c r="E6" t="s">
        <x:v>106</x:v>
      </x:c>
      <x:c r="F6" t="s">
        <x:v>99</x:v>
      </x:c>
      <x:c r="H6" s="3" t="s">
        <x:v>107</x:v>
      </x:c>
    </x:row>
    <x:row r="7">
      <x:c r="A7" s="8" t="s">
        <x:v>12</x:v>
      </x:c>
      <x:c r="B7" s="8" t="s">
        <x:v>97</x:v>
      </x:c>
      <x:c r="C7">
        <x:v>0</x:v>
      </x:c>
      <x:c r="D7" s="4" t="str">
        <x:f t="shared" si="0"/>
        <x:v>COMERCIAL / AGENTE AUTORIZADO - CLARO</x:v>
      </x:c>
      <x:c r="E7" t="s">
        <x:v>108</x:v>
      </x:c>
      <x:c r="F7" t="s">
        <x:v>99</x:v>
      </x:c>
      <x:c r="H7" s="7" t="s">
        <x:v>109</x:v>
      </x:c>
    </x:row>
    <x:row r="8">
      <x:c r="A8" s="8" t="s">
        <x:v>14</x:v>
      </x:c>
      <x:c r="B8" s="8" t="s">
        <x:v>97</x:v>
      </x:c>
      <x:c r="C8">
        <x:v>2</x:v>
      </x:c>
      <x:c r="D8" s="4" t="str">
        <x:f t="shared" si="0"/>
        <x:v>COMERCIAL / AGENTE AUTORIZADO -KEY ACCOUNT</x:v>
      </x:c>
      <x:c r="E8" s="6" t="s">
        <x:v>110</x:v>
      </x:c>
      <x:c r="F8" t="s">
        <x:v>99</x:v>
      </x:c>
      <x:c r="H8" s="3" t="s">
        <x:v>111</x:v>
      </x:c>
    </x:row>
    <x:row r="9">
      <x:c r="A9" s="8" t="s">
        <x:v>16</x:v>
      </x:c>
      <x:c r="B9" s="8" t="s">
        <x:v>97</x:v>
      </x:c>
      <x:c r="C9">
        <x:v>2</x:v>
      </x:c>
      <x:c r="D9" s="4" t="str">
        <x:f t="shared" si="0"/>
        <x:v>COMERCIAL / AGRONEGOCIO PME</x:v>
      </x:c>
      <x:c r="E9" s="33" t="s">
        <x:v>112</x:v>
      </x:c>
      <x:c r="F9" t="s">
        <x:v>99</x:v>
      </x:c>
      <x:c r="H9" s="7" t="s">
        <x:v>113</x:v>
      </x:c>
    </x:row>
    <x:row r="10">
      <x:c r="A10" s="8" t="s">
        <x:v>18</x:v>
      </x:c>
      <x:c r="B10" s="8" t="s">
        <x:v>97</x:v>
      </x:c>
      <x:c r="C10">
        <x:v>2</x:v>
      </x:c>
      <x:c r="D10" s="4" t="str">
        <x:f t="shared" ref="D10:D21" si="1">CONCATENATE(F10," / ",E10)</x:f>
        <x:v>COMERCIAL / ATIVO - ACOES ESPECIAIS</x:v>
      </x:c>
      <x:c r="E10" t="s">
        <x:v>114</x:v>
      </x:c>
      <x:c r="F10" t="s">
        <x:v>99</x:v>
      </x:c>
      <x:c r="H10" s="3" t="s">
        <x:v>115</x:v>
      </x:c>
    </x:row>
    <x:row r="11">
      <x:c r="A11" s="8" t="s">
        <x:v>20</x:v>
      </x:c>
      <x:c r="B11" s="8" t="s">
        <x:v>97</x:v>
      </x:c>
      <x:c r="C11">
        <x:v>3</x:v>
      </x:c>
      <x:c r="D11" s="4" t="str">
        <x:f t="shared" si="1"/>
        <x:v>COMERCIAL / ATIVO AGENTE AUTORIZADO</x:v>
      </x:c>
      <x:c r="E11" t="s">
        <x:v>116</x:v>
      </x:c>
      <x:c r="F11" t="s">
        <x:v>99</x:v>
      </x:c>
      <x:c r="H11" s="7" t="s">
        <x:v>86</x:v>
      </x:c>
    </x:row>
    <x:row r="12">
      <x:c r="A12" s="8" t="s">
        <x:v>22</x:v>
      </x:c>
      <x:c r="B12" s="8" t="s">
        <x:v>97</x:v>
      </x:c>
      <x:c r="C12">
        <x:v>0</x:v>
      </x:c>
      <x:c r="D12" s="4" t="str">
        <x:f t="shared" si="1"/>
        <x:v>COMERCIAL / ATIVO AQUISICAO INDIRETO</x:v>
      </x:c>
      <x:c r="E12" t="s">
        <x:v>117</x:v>
      </x:c>
      <x:c r="F12" t="s">
        <x:v>99</x:v>
      </x:c>
      <x:c r="H12" s="7" t="s">
        <x:v>118</x:v>
      </x:c>
    </x:row>
    <x:row r="13">
      <x:c r="A13" s="4" t="s">
        <x:v>24</x:v>
      </x:c>
      <x:c r="B13" s="8" t="s">
        <x:v>97</x:v>
      </x:c>
      <x:c r="C13">
        <x:v>1</x:v>
      </x:c>
      <x:c r="D13" s="4" t="str">
        <x:f t="shared" si="1"/>
        <x:v>COMERCIAL / ATIVO LOCAL GB</x:v>
      </x:c>
      <x:c r="E13" t="s">
        <x:v>119</x:v>
      </x:c>
      <x:c r="F13" t="s">
        <x:v>99</x:v>
      </x:c>
      <x:c r="H13" s="3"/>
    </x:row>
    <x:row r="14">
      <x:c r="D14" s="4" t="str">
        <x:f t="shared" si="1"/>
        <x:v>COMERCIAL / ATIVO NACIONAL</x:v>
      </x:c>
      <x:c r="E14" t="s">
        <x:v>120</x:v>
      </x:c>
      <x:c r="F14" t="s">
        <x:v>99</x:v>
      </x:c>
      <x:c r="H14" s="3"/>
    </x:row>
    <x:row r="15">
      <x:c r="D15" s="4" t="str">
        <x:f t="shared" si="1"/>
        <x:v>COMERCIAL / BKO CENTRALIZADO COMERCIAL</x:v>
      </x:c>
      <x:c r="E15" t="s">
        <x:v>121</x:v>
      </x:c>
      <x:c r="F15" t="s">
        <x:v>99</x:v>
      </x:c>
    </x:row>
    <x:row r="16">
      <x:c r="D16" s="4" t="str">
        <x:f t="shared" si="1"/>
        <x:v>COMERCIAL / CORPORATE</x:v>
      </x:c>
      <x:c r="E16" t="s">
        <x:v>122</x:v>
      </x:c>
      <x:c r="F16" t="s">
        <x:v>99</x:v>
      </x:c>
    </x:row>
    <x:row r="17">
      <x:c r="D17" s="4" t="str">
        <x:f t="shared" si="1"/>
        <x:v>COMERCIAL / D2D - CLARO PESSOAL</x:v>
      </x:c>
      <x:c r="E17" t="s">
        <x:v>123</x:v>
      </x:c>
      <x:c r="F17" t="s">
        <x:v>99</x:v>
      </x:c>
    </x:row>
    <x:row r="18">
      <x:c r="D18" s="4" t="str">
        <x:f t="shared" si="1"/>
        <x:v>COMERCIAL / D2D - CONDOMINIO</x:v>
      </x:c>
      <x:c r="E18" t="s">
        <x:v>124</x:v>
      </x:c>
      <x:c r="F18" t="s">
        <x:v>99</x:v>
      </x:c>
    </x:row>
    <x:row r="19">
      <x:c r="D19" s="4" t="str">
        <x:f t="shared" si="1"/>
        <x:v>COMERCIAL / D2D - ESPECIALISTA</x:v>
      </x:c>
      <x:c r="E19" t="s">
        <x:v>125</x:v>
      </x:c>
      <x:c r="F19" t="s">
        <x:v>99</x:v>
      </x:c>
    </x:row>
    <x:row r="20">
      <x:c r="D20" s="4" t="str">
        <x:f t="shared" si="1"/>
        <x:v>COMERCIAL / D2D - PME</x:v>
      </x:c>
      <x:c r="E20" t="s">
        <x:v>126</x:v>
      </x:c>
      <x:c r="F20" t="s">
        <x:v>99</x:v>
      </x:c>
    </x:row>
    <x:row r="21" ht="16">
      <x:c r="D21" s="4" t="str">
        <x:f t="shared" si="1"/>
        <x:v>COMERCIAL / GERADORES </x:v>
      </x:c>
      <x:c r="E21" t="s">
        <x:v>127</x:v>
      </x:c>
      <x:c r="F21" t="s">
        <x:v>99</x:v>
      </x:c>
    </x:row>
    <x:row r="22">
      <x:c r="D22" s="4" t="str">
        <x:f t="shared" ref="D22:D37" si="2">CONCATENATE(F22," / ",E22)</x:f>
        <x:v>COMERCIAL / HOSPITALITY</x:v>
      </x:c>
      <x:c r="E22" t="s">
        <x:v>128</x:v>
      </x:c>
      <x:c r="F22" t="s">
        <x:v>99</x:v>
      </x:c>
    </x:row>
    <x:row r="23">
      <x:c r="D23" s="4" t="str">
        <x:f t="shared" si="2"/>
        <x:v>COMERCIAL / INSIDE SALES</x:v>
      </x:c>
      <x:c r="E23" t="s">
        <x:v>129</x:v>
      </x:c>
      <x:c r="F23" t="s">
        <x:v>99</x:v>
      </x:c>
    </x:row>
    <x:row r="24">
      <x:c r="D24" s="4" t="str">
        <x:f t="shared" si="2"/>
        <x:v>COMERCIAL / INTERNET</x:v>
      </x:c>
      <x:c r="E24" t="s">
        <x:v>130</x:v>
      </x:c>
      <x:c r="F24" t="s">
        <x:v>99</x:v>
      </x:c>
    </x:row>
    <x:row r="25">
      <x:c r="D25" s="4" t="str">
        <x:f t="shared" si="2"/>
        <x:v>COMERCIAL / ISP</x:v>
      </x:c>
      <x:c r="E25" t="s">
        <x:v>131</x:v>
      </x:c>
      <x:c r="F25" t="s">
        <x:v>99</x:v>
      </x:c>
    </x:row>
    <x:row r="26">
      <x:c r="D26" s="4" t="str">
        <x:f t="shared" si="2"/>
        <x:v>COMERCIAL / LOJAS - CLARO</x:v>
      </x:c>
      <x:c r="E26" t="s">
        <x:v>132</x:v>
      </x:c>
      <x:c r="F26" t="s">
        <x:v>99</x:v>
      </x:c>
    </x:row>
    <x:row r="27">
      <x:c r="D27" s="4" t="str">
        <x:f t="shared" si="2"/>
        <x:v>COMERCIAL / PEC</x:v>
      </x:c>
      <x:c r="E27" t="s">
        <x:v>133</x:v>
      </x:c>
      <x:c r="F27" t="s">
        <x:v>99</x:v>
      </x:c>
    </x:row>
    <x:row r="28">
      <x:c r="D28" s="4" t="str">
        <x:f t="shared" si="2"/>
        <x:v>COMERCIAL / PESQUISA TESTE -RENTABILIZACAO</x:v>
      </x:c>
      <x:c r="E28" t="s">
        <x:v>134</x:v>
      </x:c>
      <x:c r="F28" t="s">
        <x:v>99</x:v>
      </x:c>
    </x:row>
    <x:row r="29">
      <x:c r="D29" s="4" t="str">
        <x:f t="shared" si="2"/>
        <x:v>COMERCIAL / PORTA A PORTA AA</x:v>
      </x:c>
      <x:c r="E29" t="s">
        <x:v>135</x:v>
      </x:c>
      <x:c r="F29" t="s">
        <x:v>99</x:v>
      </x:c>
    </x:row>
    <x:row r="30">
      <x:c r="D30" s="4" t="str">
        <x:f t="shared" si="2"/>
        <x:v>COMERCIAL / POS VENDA</x:v>
      </x:c>
      <x:c r="E30" t="s">
        <x:v>136</x:v>
      </x:c>
      <x:c r="F30" t="s">
        <x:v>99</x:v>
      </x:c>
    </x:row>
    <x:row r="31">
      <x:c r="D31" s="4" t="str">
        <x:f t="shared" si="2"/>
        <x:v>COMERCIAL / QUALIDADE COMERCIAL MATRIZ</x:v>
      </x:c>
      <x:c r="E31" t="s">
        <x:v>137</x:v>
      </x:c>
      <x:c r="F31" t="s">
        <x:v>99</x:v>
      </x:c>
    </x:row>
    <x:row r="32">
      <x:c r="D32" s="4" t="str">
        <x:f t="shared" si="2"/>
        <x:v>COMERCIAL / RECEP RENTABILIZACAO ESPECIAL</x:v>
      </x:c>
      <x:c r="E32" t="s">
        <x:v>138</x:v>
      </x:c>
      <x:c r="F32" t="s">
        <x:v>99</x:v>
      </x:c>
    </x:row>
    <x:row r="33">
      <x:c r="D33" s="4" t="str">
        <x:f t="shared" si="2"/>
        <x:v>COMERCIAL / TLV NAC - RECEP RENTABILIZACAO</x:v>
      </x:c>
      <x:c r="E33" t="s">
        <x:v>139</x:v>
      </x:c>
      <x:c r="F33" t="s">
        <x:v>99</x:v>
      </x:c>
    </x:row>
    <x:row r="34">
      <x:c r="D34" s="4" t="str">
        <x:f t="shared" si="2"/>
        <x:v>COMERCIAL / TLV NACIONAL - RECEPTIVO</x:v>
      </x:c>
      <x:c r="E34" t="s">
        <x:v>140</x:v>
      </x:c>
      <x:c r="F34" t="s">
        <x:v>99</x:v>
      </x:c>
    </x:row>
    <x:row r="35">
      <x:c r="D35" s="4" t="str">
        <x:f t="shared" si="2"/>
        <x:v>COMERCIAL / TLV NACIONAL - RECEPTIVO FLEX</x:v>
      </x:c>
      <x:c r="E35" t="s">
        <x:v>141</x:v>
      </x:c>
      <x:c r="F35" t="s">
        <x:v>99</x:v>
      </x:c>
    </x:row>
    <x:row r="36">
      <x:c r="D36" s="4" t="str">
        <x:f t="shared" si="2"/>
        <x:v>COMERCIAL / TOP PME</x:v>
      </x:c>
      <x:c r="E36" t="s">
        <x:v>142</x:v>
      </x:c>
      <x:c r="F36" t="s">
        <x:v>99</x:v>
      </x:c>
    </x:row>
    <x:row r="37">
      <x:c r="D37" s="4" t="str">
        <x:f t="shared" si="2"/>
        <x:v>COMERCIAL / VAREJO</x:v>
      </x:c>
      <x:c r="E37" t="s">
        <x:v>143</x:v>
      </x:c>
      <x:c r="F37" t="s">
        <x:v>99</x:v>
      </x:c>
    </x:row>
    <x:row r="38"/>
    <x:row r="39">
      <x:c r="D39" s="4" t="str">
        <x:f t="shared" ref="D39:D46" si="3">CONCATENATE(F39," / ",E39)</x:f>
        <x:v>DAC / CRN NACIONAL</x:v>
      </x:c>
      <x:c r="E39" t="s">
        <x:v>144</x:v>
      </x:c>
      <x:c r="F39" t="s">
        <x:v>145</x:v>
      </x:c>
    </x:row>
    <x:row r="40">
      <x:c r="D40" s="4" t="str">
        <x:f t="shared" si="3"/>
        <x:v>DAC / D2D - CONVERSAO MDU</x:v>
      </x:c>
      <x:c r="E40" t="s">
        <x:v>146</x:v>
      </x:c>
      <x:c r="F40" t="s">
        <x:v>145</x:v>
      </x:c>
    </x:row>
    <x:row r="41">
      <x:c r="D41" s="4" t="str">
        <x:f t="shared" si="3"/>
        <x:v>DAC / DAC CARTEIRIZADO</x:v>
      </x:c>
      <x:c r="E41" t="s">
        <x:v>147</x:v>
      </x:c>
      <x:c r="F41" t="s">
        <x:v>145</x:v>
      </x:c>
    </x:row>
    <x:row r="42">
      <x:c r="D42" s="4" t="str">
        <x:f t="shared" si="3"/>
        <x:v>DAC / FUNCIONARIO</x:v>
      </x:c>
      <x:c r="E42" t="s">
        <x:v>148</x:v>
      </x:c>
      <x:c r="F42" t="s">
        <x:v>145</x:v>
      </x:c>
    </x:row>
    <x:row r="43">
      <x:c r="D43" s="4" t="str">
        <x:f t="shared" si="3"/>
        <x:v>DAC / OUVIDORIA</x:v>
      </x:c>
      <x:c r="E43" t="s">
        <x:v>149</x:v>
      </x:c>
      <x:c r="F43" t="s">
        <x:v>145</x:v>
      </x:c>
    </x:row>
    <x:row r="44">
      <x:c r="D44" s="4" t="str">
        <x:f t="shared" si="3"/>
        <x:v>DAC / PJ GOV RESIDENCIAL</x:v>
      </x:c>
      <x:c r="E44" t="s">
        <x:v>150</x:v>
      </x:c>
      <x:c r="F44" t="s">
        <x:v>145</x:v>
      </x:c>
    </x:row>
    <x:row r="45">
      <x:c r="D45" s="4" t="str">
        <x:f t="shared" si="3"/>
        <x:v>DAC / RETENCAO/REVERSAO</x:v>
      </x:c>
      <x:c r="E45" t="s">
        <x:v>151</x:v>
      </x:c>
      <x:c r="F45" t="s">
        <x:v>145</x:v>
      </x:c>
    </x:row>
    <x:row r="46">
      <x:c r="D46" s="4" t="str">
        <x:f t="shared" si="3"/>
        <x:v>DAC / SAC SINERGIA</x:v>
      </x:c>
      <x:c r="E46" t="s">
        <x:v>152</x:v>
      </x:c>
      <x:c r="F46" t="s">
        <x:v>145</x:v>
      </x:c>
    </x:row>
    <x:row r="47">
      <x:c r="D47" s="4"/>
    </x:row>
    <x:row r="48">
      <x:c r="D48" s="4" t="str">
        <x:f t="shared" ref="D48:D50" si="4">CONCATENATE(F48," / ",E48)</x:f>
        <x:v>OUTROS / EMBRATEL CORPORATIVO</x:v>
      </x:c>
      <x:c r="E48" t="s">
        <x:v>153</x:v>
      </x:c>
      <x:c r="F48" t="s">
        <x:v>154</x:v>
      </x:c>
    </x:row>
    <x:row r="49">
      <x:c r="D49" s="4" t="str">
        <x:f t="shared" si="4"/>
        <x:v>OUTROS / PESQUISA E TESTES</x:v>
      </x:c>
      <x:c r="E49" t="s">
        <x:v>155</x:v>
      </x:c>
      <x:c r="F49" t="s">
        <x:v>154</x:v>
      </x:c>
    </x:row>
    <x:row r="50">
      <x:c r="D50" s="4" t="str">
        <x:f t="shared" si="4"/>
        <x:v>OUTROS / TECNICA</x:v>
      </x:c>
      <x:c r="E50" t="s">
        <x:v>156</x:v>
      </x:c>
      <x:c r="F50" t="s">
        <x:v>154</x:v>
      </x:c>
    </x:row>
    <x:row r="51">
      <x:c r="D51" s="4" t="str">
        <x:f>CONCATENATE(F51," / ",E51)</x:f>
        <x:v>OUTROS / VENDAS VIA NOVITECH</x:v>
      </x:c>
      <x:c r="E51" t="s">
        <x:v>157</x:v>
      </x:c>
      <x:c r="F51" t="s">
        <x:v>154</x:v>
      </x:c>
    </x:row>
    <x:row r="52">
      <x:c r="D52" s="4" t="str">
        <x:f>CONCATENATE(F52," / ",E52)</x:f>
        <x:v>OUTROS / QUALIDADE REGIONAL</x:v>
      </x:c>
      <x:c r="E52" t="s">
        <x:v>158</x:v>
      </x:c>
      <x:c r="F52" t="s">
        <x:v>154</x:v>
      </x:c>
    </x:row>
    <x:row r="53"/>
    <x:row r="54">
      <x:c r="D54" s="4" t="s">
        <x:v>111</x:v>
      </x:c>
      <x:c r="E54" t="s">
        <x:v>111</x:v>
      </x:c>
      <x:c r="F54" t="s">
        <x:v>111</x:v>
      </x:c>
    </x:row>
    <x:row r="55"/>
    <x:row r="56"/>
    <x:row r="57"/>
    <x:row r="58"/>
    <x:row r="59"/>
    <x:row r="60">
      <x:c r="D60" s="4"/>
    </x:row>
    <x:row r="61">
      <x:c r="D61" s="4"/>
      <x:c r="E61" s="4"/>
      <x:c r="F61" s="4"/>
      <x:c r="G61" s="4"/>
    </x:row>
    <x:row r="62" hidden="1">
      <x:c r="D62" s="4"/>
      <x:c r="E62" s="4"/>
      <x:c r="F62" s="4"/>
      <x:c r="G62" s="4"/>
    </x:row>
    <x:row r="63" hidden="1">
      <x:c r="D63" s="4"/>
      <x:c r="E63" s="4"/>
      <x:c r="F63" s="4"/>
      <x:c r="G63" s="4"/>
    </x:row>
    <x:row r="64" hidden="1">
      <x:c r="D64" s="4"/>
      <x:c r="E64" s="4"/>
      <x:c r="F64" s="4"/>
      <x:c r="G64" s="4"/>
    </x:row>
  </x:sheetData>
  <x:mergeCells>
    <x:mergeCell ref="A2:C2"/>
  </x:mergeCells>
  <x:pageMargins left="0.7" right="0.7" top="0.75" bottom="0.75" header="0.3" footer="0.3"/>
</x:worksheet>
</file>